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1027\Desktop\TOTI_project\타임테이블\"/>
    </mc:Choice>
  </mc:AlternateContent>
  <xr:revisionPtr revIDLastSave="0" documentId="13_ncr:1_{3EC147F5-345A-4757-93EB-A57DAF00283C}" xr6:coauthVersionLast="45" xr6:coauthVersionMax="45" xr10:uidLastSave="{00000000-0000-0000-0000-000000000000}"/>
  <bookViews>
    <workbookView minimized="1" xWindow="1410" yWindow="4245" windowWidth="21600" windowHeight="11355"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5" i="2" l="1"/>
  <c r="AE6" i="2"/>
  <c r="AF7" i="2"/>
  <c r="AG8" i="2"/>
  <c r="AG9" i="2"/>
  <c r="AF10" i="2"/>
  <c r="AH11" i="2"/>
  <c r="AH12" i="2"/>
  <c r="AH13" i="2"/>
  <c r="AI14" i="2"/>
  <c r="AI15" i="2"/>
  <c r="AI16" i="2"/>
  <c r="AM17" i="2"/>
  <c r="BC18" i="2"/>
  <c r="BB19" i="2"/>
  <c r="AZ20" i="2"/>
  <c r="BB21" i="2"/>
  <c r="BC22" i="2"/>
  <c r="BB23" i="2"/>
  <c r="BA24" i="2"/>
  <c r="BB25" i="2"/>
  <c r="BB26" i="2"/>
  <c r="AM27" i="2"/>
  <c r="BD28" i="2"/>
  <c r="BD29" i="2"/>
  <c r="AN30" i="2"/>
  <c r="AZ31" i="2"/>
  <c r="BC32" i="2"/>
  <c r="BC33" i="2"/>
  <c r="BC34" i="2"/>
  <c r="AW35" i="2"/>
  <c r="BD35" i="2"/>
  <c r="AR36" i="2"/>
  <c r="AW37" i="2"/>
  <c r="AW38" i="2"/>
  <c r="BD38" i="2"/>
  <c r="AW39" i="2"/>
  <c r="AW40" i="2"/>
  <c r="AO41" i="2"/>
  <c r="AS42" i="2"/>
  <c r="AS43" i="2"/>
  <c r="AS44" i="2"/>
  <c r="AV45" i="2"/>
  <c r="BB46" i="2"/>
  <c r="AY47" i="2"/>
  <c r="BB48" i="2"/>
  <c r="BD49" i="2"/>
  <c r="L14" i="4" l="1"/>
  <c r="L13" i="4"/>
  <c r="L12" i="4"/>
  <c r="L11" i="4"/>
  <c r="L10" i="4"/>
  <c r="L9" i="4"/>
  <c r="L8" i="4"/>
  <c r="L7" i="4"/>
  <c r="G17" i="4"/>
  <c r="I15" i="4"/>
  <c r="K15" i="4" s="1"/>
  <c r="L15" i="4" s="1"/>
  <c r="H15" i="4"/>
  <c r="J15" i="4" s="1"/>
  <c r="G15" i="4"/>
  <c r="H10" i="8"/>
  <c r="AB1" i="2"/>
  <c r="AB2" i="2"/>
  <c r="D1" i="2"/>
  <c r="H17" i="4" l="1"/>
  <c r="J17" i="4" s="1"/>
  <c r="I17" i="4"/>
  <c r="K17" i="4" s="1"/>
  <c r="L17"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alcChain>
</file>

<file path=xl/sharedStrings.xml><?xml version="1.0" encoding="utf-8"?>
<sst xmlns="http://schemas.openxmlformats.org/spreadsheetml/2006/main" count="1297" uniqueCount="1170">
  <si>
    <t>Man/Day</t>
    <phoneticPr fontId="6" type="noConversion"/>
  </si>
  <si>
    <t>Man-Day</t>
  </si>
  <si>
    <t>Man-Month</t>
  </si>
  <si>
    <t>Total</t>
  </si>
  <si>
    <t>ITEM</t>
    <phoneticPr fontId="6" type="noConversion"/>
  </si>
  <si>
    <t>VALUE1</t>
    <phoneticPr fontId="6" type="noConversion"/>
  </si>
  <si>
    <t>VALUE2</t>
    <phoneticPr fontId="6" type="noConversion"/>
  </si>
  <si>
    <t>VALUE3</t>
  </si>
  <si>
    <t>INSERTED_DATE</t>
    <phoneticPr fontId="6" type="noConversion"/>
  </si>
  <si>
    <t>UPDATED_DATE</t>
    <phoneticPr fontId="6" type="noConversion"/>
  </si>
  <si>
    <t>COMPANY</t>
    <phoneticPr fontId="6" type="noConversion"/>
  </si>
  <si>
    <t>XLWorks</t>
    <phoneticPr fontId="6" type="noConversion"/>
  </si>
  <si>
    <t>DO NOT UPDATE</t>
    <phoneticPr fontId="6" type="noConversion"/>
  </si>
  <si>
    <t>AUTHOR_EMAIL</t>
    <phoneticPr fontId="6" type="noConversion"/>
  </si>
  <si>
    <t>PROGRAM_NAME</t>
    <phoneticPr fontId="6" type="noConversion"/>
  </si>
  <si>
    <t>XLGantt</t>
  </si>
  <si>
    <t>PROGRAM_SITE</t>
    <phoneticPr fontId="6" type="noConversion"/>
  </si>
  <si>
    <t>http://xlworks.net</t>
    <phoneticPr fontId="6" type="noConversion"/>
  </si>
  <si>
    <t>PROGRAM_SITE_DISP</t>
    <phoneticPr fontId="6" type="noConversion"/>
  </si>
  <si>
    <t>VERSION</t>
    <phoneticPr fontId="6" type="noConversion"/>
  </si>
  <si>
    <t>DO NOT UPDATE</t>
    <phoneticPr fontId="6" type="noConversion"/>
  </si>
  <si>
    <t>RELEASE_DATE</t>
    <phoneticPr fontId="6" type="noConversion"/>
  </si>
  <si>
    <t>LICENSE</t>
    <phoneticPr fontId="6" type="noConversion"/>
  </si>
  <si>
    <t>Freeware</t>
    <phoneticPr fontId="6" type="noConversion"/>
  </si>
  <si>
    <t>Name:projectName</t>
  </si>
  <si>
    <t>Name:isConfirmedProjectBasicInfo</t>
  </si>
  <si>
    <t>Name:projectStartDate</t>
  </si>
  <si>
    <t>Name:projectEndDate</t>
  </si>
  <si>
    <t>Name:optScheduleChangeMgt</t>
  </si>
  <si>
    <t>Name:optPlanRateCriteriaDate</t>
  </si>
  <si>
    <t>Name:chkDeliverablesMgt</t>
    <phoneticPr fontId="6" type="noConversion"/>
  </si>
  <si>
    <t>Name:savePathType</t>
    <phoneticPr fontId="6" type="noConversion"/>
  </si>
  <si>
    <t>Name:txtDefinedPath</t>
    <phoneticPr fontId="6" type="noConversion"/>
  </si>
  <si>
    <t>Name:txtAutoDefinedBasePath</t>
    <phoneticPr fontId="6" type="noConversion"/>
  </si>
  <si>
    <t>Name:txtPgmName1</t>
    <phoneticPr fontId="6" type="noConversion"/>
  </si>
  <si>
    <t>Name:txtFileExt1</t>
  </si>
  <si>
    <t>Name:txtPgmPath1</t>
    <phoneticPr fontId="6" type="noConversion"/>
  </si>
  <si>
    <t>Name:chkInclude2SelectList1</t>
    <phoneticPr fontId="6" type="noConversion"/>
  </si>
  <si>
    <t>Name:txtPgmName2</t>
    <phoneticPr fontId="6" type="noConversion"/>
  </si>
  <si>
    <t>Name:txtFileExt2</t>
    <phoneticPr fontId="6" type="noConversion"/>
  </si>
  <si>
    <t>Name:txtPgmPath2</t>
    <phoneticPr fontId="6" type="noConversion"/>
  </si>
  <si>
    <t>Name:chkInclude2SelectList2</t>
    <phoneticPr fontId="6" type="noConversion"/>
  </si>
  <si>
    <t>Name:txtPgmName3</t>
    <phoneticPr fontId="6" type="noConversion"/>
  </si>
  <si>
    <t>Name:txtFileExt3</t>
    <phoneticPr fontId="6" type="noConversion"/>
  </si>
  <si>
    <t>Name:txtPgmPath3</t>
    <phoneticPr fontId="6" type="noConversion"/>
  </si>
  <si>
    <t>Name:chkInclude2SelectList3</t>
    <phoneticPr fontId="6" type="noConversion"/>
  </si>
  <si>
    <t>Name:txtPgmName4</t>
    <phoneticPr fontId="6" type="noConversion"/>
  </si>
  <si>
    <t>Name:txtFileExt4</t>
    <phoneticPr fontId="6" type="noConversion"/>
  </si>
  <si>
    <t>Name:txtPgmPath4</t>
    <phoneticPr fontId="6" type="noConversion"/>
  </si>
  <si>
    <t>Name:chkInclude2SelectList4</t>
    <phoneticPr fontId="6" type="noConversion"/>
  </si>
  <si>
    <t>Name:txtPgmName5</t>
    <phoneticPr fontId="6" type="noConversion"/>
  </si>
  <si>
    <t>Name:txtFileExt5</t>
    <phoneticPr fontId="6" type="noConversion"/>
  </si>
  <si>
    <t>Name:txtPgmPath5</t>
    <phoneticPr fontId="6" type="noConversion"/>
  </si>
  <si>
    <t>Name:chkInclude2SelectList5</t>
    <phoneticPr fontId="6"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</si>
  <si>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</si>
  <si>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</si>
  <si>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</si>
  <si>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</si>
  <si>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</si>
  <si>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</si>
  <si>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</si>
  <si>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</si>
  <si>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</si>
  <si>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</si>
  <si>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</si>
  <si>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</si>
  <si>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</si>
  <si>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</si>
  <si>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</si>
  <si>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</si>
  <si>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</si>
  <si>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</si>
  <si>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</si>
  <si>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</si>
  <si>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</si>
  <si>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</si>
  <si>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</si>
  <si>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</si>
  <si>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</si>
  <si>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</si>
  <si>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</si>
  <si>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</si>
  <si>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</si>
  <si>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</si>
  <si>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</si>
  <si>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</si>
  <si>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</si>
  <si>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</si>
  <si>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</si>
  <si>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</si>
  <si>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</si>
  <si>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</si>
  <si>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</si>
  <si>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</si>
  <si>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</si>
  <si>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</si>
  <si>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</si>
  <si>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</si>
  <si>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</si>
  <si>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</si>
  <si>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</si>
  <si>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</si>
  <si>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</si>
  <si>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</si>
  <si>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</si>
  <si>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</si>
  <si>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</si>
  <si>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</si>
  <si>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</si>
  <si>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</si>
  <si>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</si>
  <si>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</si>
  <si>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</si>
  <si>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</si>
  <si>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</si>
  <si>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</si>
  <si>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</si>
  <si>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</si>
  <si>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</si>
  <si>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</si>
  <si>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</si>
  <si>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</si>
  <si>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</si>
  <si>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</si>
  <si>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</si>
  <si>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</si>
  <si>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</si>
  <si>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</si>
  <si>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</si>
  <si>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</si>
  <si>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</si>
  <si>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</si>
  <si>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</si>
  <si>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</si>
  <si>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</si>
  <si>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</si>
  <si>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</si>
  <si>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</si>
  <si>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</si>
  <si>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</si>
  <si>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</si>
  <si>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</si>
  <si>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</si>
  <si>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</si>
  <si>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</si>
  <si>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</si>
  <si>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</si>
  <si>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</si>
  <si>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</si>
  <si>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</si>
  <si>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</si>
  <si>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</si>
  <si>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</si>
  <si>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</si>
  <si>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</si>
  <si>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</si>
  <si>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</si>
  <si>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</si>
  <si>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</si>
  <si>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</si>
  <si>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</si>
  <si>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</si>
  <si>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</si>
  <si>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</si>
  <si>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</si>
  <si>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</si>
  <si>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</si>
  <si>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</si>
  <si>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</si>
  <si>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</si>
  <si>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</si>
  <si>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</si>
  <si>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</si>
  <si>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</si>
  <si>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</si>
  <si>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</si>
  <si>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</si>
  <si>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</si>
  <si>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</si>
  <si>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</si>
  <si>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</si>
  <si>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</si>
  <si>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</si>
  <si>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</si>
  <si>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</si>
  <si>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</si>
  <si>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</si>
  <si>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</si>
  <si>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</si>
  <si>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</si>
  <si>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</si>
  <si>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</si>
  <si>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</si>
  <si>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</si>
  <si>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</si>
  <si>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</si>
  <si>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</si>
  <si>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</si>
  <si>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</si>
  <si>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</si>
  <si>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</si>
  <si>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</si>
  <si>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</si>
  <si>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</si>
  <si>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</si>
  <si>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</si>
  <si>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</si>
  <si>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</si>
  <si>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</si>
  <si>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</si>
  <si>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</si>
  <si>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</si>
  <si>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</si>
  <si>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</si>
  <si>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</si>
  <si>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</si>
  <si>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</si>
  <si>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</si>
  <si>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</si>
  <si>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</si>
  <si>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</si>
  <si>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</si>
  <si>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</si>
  <si>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</si>
  <si>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</si>
  <si>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</si>
  <si>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</si>
  <si>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</si>
  <si>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</si>
  <si>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</si>
  <si>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</si>
  <si>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</si>
  <si>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</si>
  <si>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</si>
  <si>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</si>
  <si>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</si>
  <si>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</si>
  <si>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</si>
  <si>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</si>
  <si>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</si>
  <si>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</si>
  <si>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</si>
  <si>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</si>
  <si>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</si>
  <si>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</si>
  <si>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</si>
  <si>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</si>
  <si>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</si>
  <si>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</si>
  <si>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</si>
  <si>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</si>
  <si>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</si>
  <si>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</si>
  <si>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</si>
  <si>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</si>
  <si>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</si>
  <si>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</si>
  <si>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</si>
  <si>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</si>
  <si>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</si>
  <si>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</si>
  <si>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</si>
  <si>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</si>
  <si>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</si>
  <si>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</si>
  <si>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</si>
  <si>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</si>
  <si>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</si>
  <si>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</si>
  <si>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</si>
  <si>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</si>
  <si>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</si>
  <si>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</si>
  <si>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</si>
  <si>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</si>
  <si>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</si>
  <si>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</si>
  <si>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</si>
  <si>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</si>
  <si>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</si>
  <si>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</si>
  <si>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</si>
  <si>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</si>
  <si>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</si>
  <si>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</si>
  <si>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</si>
  <si>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</si>
  <si>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</si>
  <si>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</si>
  <si>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</si>
  <si>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</si>
  <si>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</si>
  <si>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</si>
  <si>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</si>
  <si>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</si>
  <si>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</si>
  <si>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</si>
  <si>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</si>
  <si>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</si>
  <si>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</si>
  <si>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</si>
  <si>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</si>
  <si>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</si>
  <si>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</si>
  <si>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</si>
  <si>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</si>
  <si>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</si>
  <si>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</si>
  <si>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</si>
  <si>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</si>
  <si>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</si>
  <si>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</si>
  <si>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</si>
  <si>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</si>
  <si>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</si>
  <si>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</si>
  <si>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</si>
  <si>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</si>
  <si>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</si>
  <si>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</si>
  <si>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</si>
  <si>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</si>
  <si>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</si>
  <si>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</si>
  <si>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</si>
  <si>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</si>
  <si>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</si>
  <si>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</si>
  <si>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</si>
  <si>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</si>
  <si>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</si>
  <si>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</si>
  <si>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</si>
  <si>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</si>
  <si>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</si>
  <si>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</si>
  <si>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</si>
  <si>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</si>
  <si>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</si>
  <si>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</si>
  <si>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</si>
  <si>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</si>
  <si>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</si>
  <si>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</si>
  <si>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</si>
  <si>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</si>
  <si>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</si>
  <si>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</si>
  <si>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</si>
  <si>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</si>
  <si>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</si>
  <si>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</si>
  <si>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</si>
  <si>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</si>
  <si>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</si>
  <si>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</si>
  <si>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</si>
  <si>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</si>
  <si>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</si>
  <si>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</si>
  <si>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</si>
  <si>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</si>
  <si>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</si>
  <si>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</si>
  <si>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</si>
  <si>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</si>
  <si>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</si>
  <si>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</si>
  <si>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</si>
  <si>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</si>
  <si>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</si>
  <si>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</si>
  <si>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</si>
  <si>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</si>
  <si>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</si>
  <si>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</si>
  <si>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</si>
  <si>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</si>
  <si>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</si>
  <si>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</si>
  <si>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</si>
  <si>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</si>
  <si>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</si>
  <si>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</si>
  <si>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</si>
  <si>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</si>
  <si>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</si>
  <si>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</si>
  <si>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</si>
  <si>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</si>
  <si>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</si>
  <si>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</si>
  <si>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</si>
  <si>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</si>
  <si>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</si>
  <si>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</si>
  <si>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</si>
  <si>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</si>
  <si>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6" type="noConversion"/>
  </si>
  <si>
    <t>admin@xlworks.net</t>
    <phoneticPr fontId="6"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</si>
  <si>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</si>
  <si>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</si>
  <si>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</si>
  <si>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</si>
  <si>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</si>
  <si>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</si>
  <si>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</si>
  <si>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</si>
  <si>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</si>
  <si>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</si>
  <si>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</si>
  <si>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</si>
  <si>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</si>
  <si>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</si>
  <si>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</si>
  <si>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</si>
  <si>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</si>
  <si>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</si>
  <si>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</si>
  <si>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</si>
  <si>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</si>
  <si>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</si>
  <si>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</si>
  <si>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</si>
  <si>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</si>
  <si>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</si>
  <si>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</si>
  <si>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</si>
  <si>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</si>
  <si>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</si>
  <si>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</si>
  <si>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</si>
  <si>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</si>
  <si>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</si>
  <si>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</si>
  <si>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</si>
  <si>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</si>
  <si>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</si>
  <si>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</si>
  <si>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</si>
  <si>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</si>
  <si>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</si>
  <si>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</si>
  <si>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</si>
  <si>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</si>
  <si>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</si>
  <si>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</si>
  <si>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</si>
  <si>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</si>
  <si>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</si>
  <si>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</si>
  <si>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</si>
  <si>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</si>
  <si>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</si>
  <si>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</si>
  <si>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</si>
  <si>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</si>
  <si>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</si>
  <si>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</si>
  <si>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</si>
  <si>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</si>
  <si>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</si>
  <si>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</si>
  <si>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</si>
  <si>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</si>
  <si>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</si>
  <si>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</si>
  <si>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</si>
  <si>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</si>
  <si>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</si>
  <si>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</si>
  <si>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</si>
  <si>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</si>
  <si>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</si>
  <si>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</si>
  <si>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</si>
  <si>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</si>
  <si>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</si>
  <si>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</si>
  <si>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</si>
  <si>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</si>
  <si>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</si>
  <si>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</si>
  <si>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</si>
  <si>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</si>
  <si>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</si>
  <si>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</si>
  <si>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</si>
  <si>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</si>
  <si>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</si>
  <si>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</si>
  <si>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</si>
  <si>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</si>
  <si>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</si>
  <si>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</si>
  <si>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</si>
  <si>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</si>
  <si>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</si>
  <si>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</si>
  <si>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</si>
  <si>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</si>
  <si>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</si>
  <si>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</si>
  <si>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</si>
  <si>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</si>
  <si>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</si>
  <si>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</si>
  <si>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</si>
  <si>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</si>
  <si>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6"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</si>
  <si>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</si>
  <si>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</si>
  <si>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</si>
  <si>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</si>
  <si>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</si>
  <si>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</si>
  <si>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</si>
  <si>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</si>
  <si>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</si>
  <si>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</si>
  <si>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</si>
  <si>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</si>
  <si>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</si>
  <si>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</si>
  <si>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</si>
  <si>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</si>
  <si>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</si>
  <si>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</si>
  <si>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</si>
  <si>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</si>
  <si>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</si>
  <si>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</si>
  <si>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</si>
  <si>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</si>
  <si>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</si>
  <si>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</si>
  <si>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</si>
  <si>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</si>
  <si>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</si>
  <si>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</si>
  <si>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</si>
  <si>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</si>
  <si>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</si>
  <si>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</si>
  <si>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</si>
  <si>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</si>
  <si>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</si>
  <si>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</si>
  <si>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</si>
  <si>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</si>
  <si>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</si>
  <si>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</si>
  <si>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</si>
  <si>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</si>
  <si>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</si>
  <si>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</si>
  <si>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</si>
  <si>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</si>
  <si>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</si>
  <si>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</si>
  <si>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</si>
  <si>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</si>
  <si>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</si>
  <si>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</si>
  <si>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</si>
  <si>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</si>
  <si>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</si>
  <si>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</si>
  <si>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</si>
  <si>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</si>
  <si>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</si>
  <si>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</si>
  <si>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</si>
  <si>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</si>
  <si>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</si>
  <si>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</si>
  <si>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</si>
  <si>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</si>
  <si>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</si>
  <si>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</si>
  <si>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</si>
  <si>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</si>
  <si>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</si>
  <si>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</si>
  <si>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</si>
  <si>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</si>
  <si>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</si>
  <si>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</si>
  <si>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</si>
  <si>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</si>
  <si>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</si>
  <si>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</si>
  <si>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</si>
  <si>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</si>
  <si>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</si>
  <si>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</si>
  <si>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</si>
  <si>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</si>
  <si>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</si>
  <si>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</si>
  <si>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</si>
  <si>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</si>
  <si>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</si>
  <si>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</si>
  <si>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</si>
  <si>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</si>
  <si>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</si>
  <si>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</si>
  <si>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</si>
  <si>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</si>
  <si>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</si>
  <si>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</si>
  <si>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</si>
  <si>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</si>
  <si>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</si>
  <si>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</si>
  <si>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</si>
  <si>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</si>
  <si>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</si>
  <si>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</si>
  <si>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</si>
  <si>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</si>
  <si>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</si>
  <si>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</si>
  <si>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</si>
  <si>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</si>
  <si>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</si>
  <si>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</si>
  <si>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</si>
  <si>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</si>
  <si>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</si>
  <si>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</si>
  <si>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</si>
  <si>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</si>
  <si>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</si>
  <si>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</si>
  <si>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</si>
  <si>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</si>
  <si>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</si>
  <si>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</si>
  <si>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</si>
  <si>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</si>
  <si>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</si>
  <si>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</si>
  <si>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</si>
  <si>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</si>
  <si>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</si>
  <si>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</si>
  <si>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</si>
  <si>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</si>
  <si>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</si>
  <si>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</si>
  <si>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</si>
  <si>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</si>
  <si>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</si>
  <si>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</si>
  <si>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</si>
  <si>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</si>
  <si>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</si>
  <si>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</si>
  <si>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</si>
  <si>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</si>
  <si>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</si>
  <si>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</si>
  <si>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</si>
  <si>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</si>
  <si>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</si>
  <si>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</si>
  <si>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</si>
  <si>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</si>
  <si>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</si>
  <si>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</si>
  <si>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</si>
  <si>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</si>
  <si>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</si>
  <si>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</si>
  <si>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</si>
  <si>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</si>
  <si>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</si>
  <si>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</si>
  <si>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</si>
  <si>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</si>
  <si>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</si>
  <si>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</si>
  <si>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</si>
  <si>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</si>
  <si>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</si>
  <si>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</si>
  <si>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</si>
  <si>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</si>
  <si>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</si>
  <si>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</si>
  <si>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</si>
  <si>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</si>
  <si>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</si>
  <si>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</si>
  <si>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</si>
  <si>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</si>
  <si>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</si>
  <si>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</si>
  <si>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</si>
  <si>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</si>
  <si>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</si>
  <si>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</si>
  <si>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</si>
  <si>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</si>
  <si>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</si>
  <si>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</si>
  <si>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</si>
  <si>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</si>
  <si>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</si>
  <si>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</si>
  <si>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</si>
  <si>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</si>
  <si>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</si>
  <si>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</si>
  <si>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</si>
  <si>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</si>
  <si>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</si>
  <si>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</si>
  <si>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</si>
  <si>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</si>
  <si>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</si>
  <si>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</si>
  <si>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</si>
  <si>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</si>
  <si>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</si>
  <si>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</si>
  <si>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</si>
  <si>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</si>
  <si>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</si>
  <si>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</si>
  <si>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</si>
  <si>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</si>
  <si>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</si>
  <si>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</si>
  <si>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</si>
  <si>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</si>
  <si>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</si>
  <si>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</si>
  <si>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</si>
  <si>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</si>
  <si>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</si>
  <si>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</si>
  <si>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</si>
  <si>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</si>
  <si>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</si>
  <si>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</si>
  <si>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</si>
  <si>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</si>
  <si>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</si>
  <si>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</si>
  <si>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</si>
  <si>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</si>
  <si>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</si>
  <si>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</si>
  <si>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</si>
  <si>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</si>
  <si>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</si>
  <si>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</si>
  <si>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</si>
  <si>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</si>
  <si>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</si>
  <si>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</si>
  <si>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</si>
  <si>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</si>
  <si>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</si>
  <si>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</si>
  <si>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</si>
  <si>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</si>
  <si>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</si>
  <si>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</si>
  <si>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</si>
  <si>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</si>
  <si>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</si>
  <si>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</si>
  <si>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</si>
  <si>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</si>
  <si>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</si>
  <si>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</si>
  <si>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</si>
  <si>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</si>
  <si>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</si>
  <si>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</si>
  <si>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</si>
  <si>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</si>
  <si>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</si>
  <si>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</si>
  <si>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</si>
  <si>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</si>
  <si>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</si>
  <si>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</si>
  <si>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</si>
  <si>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</si>
  <si>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</si>
  <si>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</si>
  <si>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</si>
  <si>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</si>
  <si>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</si>
  <si>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</si>
  <si>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</si>
  <si>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</si>
  <si>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</si>
  <si>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</si>
  <si>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</si>
  <si>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</si>
  <si>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</si>
  <si>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</si>
  <si>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</si>
  <si>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</si>
  <si>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</si>
  <si>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</si>
  <si>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</si>
  <si>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</si>
  <si>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</si>
  <si>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</si>
  <si>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</si>
  <si>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</si>
  <si>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</si>
  <si>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</si>
  <si>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</si>
  <si>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</si>
  <si>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</si>
  <si>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</si>
  <si>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</si>
  <si>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</si>
  <si>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</si>
  <si>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</si>
  <si>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</si>
  <si>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</si>
  <si>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</si>
  <si>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</si>
  <si>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</si>
  <si>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</si>
  <si>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</si>
  <si>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</si>
  <si>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</si>
  <si>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</si>
  <si>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</si>
  <si>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</si>
  <si>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</si>
  <si>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</si>
  <si>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</si>
  <si>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</si>
  <si>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</si>
  <si>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</si>
  <si>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</si>
  <si>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</si>
  <si>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</si>
  <si>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</si>
  <si>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</si>
  <si>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</si>
  <si>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</si>
  <si>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</si>
  <si>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</si>
  <si>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</si>
  <si>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</si>
  <si>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</si>
  <si>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</si>
  <si>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</si>
  <si>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</si>
  <si>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</si>
  <si>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</si>
  <si>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</si>
  <si>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</si>
  <si>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</si>
  <si>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</si>
  <si>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</si>
  <si>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</si>
  <si>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</si>
  <si>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</si>
  <si>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</si>
  <si>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</si>
  <si>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</si>
  <si>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</si>
  <si>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</si>
  <si>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</si>
  <si>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</si>
  <si>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</si>
  <si>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</si>
  <si>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</si>
  <si>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</si>
  <si>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</si>
  <si>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</si>
  <si>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</si>
  <si>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</si>
  <si>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</si>
  <si>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</si>
  <si>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</si>
  <si>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</si>
  <si>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</si>
  <si>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</si>
  <si>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</si>
  <si>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</si>
  <si>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</si>
  <si>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</si>
  <si>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</si>
  <si>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</si>
  <si>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</si>
  <si>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6" type="noConversion"/>
  </si>
  <si>
    <t>Total__Duration</t>
    <phoneticPr fontId="6" type="noConversion"/>
  </si>
  <si>
    <r>
      <rPr>
        <sz val="9"/>
        <color theme="1"/>
        <rFont val="돋움"/>
        <family val="3"/>
        <charset val="129"/>
      </rPr>
      <t>총</t>
    </r>
    <r>
      <rPr>
        <sz val="9"/>
        <color theme="1"/>
        <rFont val="Calibri"/>
        <family val="2"/>
      </rPr>
      <t>__</t>
    </r>
    <r>
      <rPr>
        <sz val="9"/>
        <color theme="1"/>
        <rFont val="돋움"/>
        <family val="3"/>
        <charset val="129"/>
      </rPr>
      <t>작업량</t>
    </r>
    <phoneticPr fontId="6" type="noConversion"/>
  </si>
  <si>
    <t>Saturdays, Sundays and the dates entered in the Calendar sheet_x000D_</t>
    <phoneticPr fontId="2" type="noConversion"/>
  </si>
  <si>
    <t>Actual__Total Work</t>
    <phoneticPr fontId="6"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</si>
  <si>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</si>
  <si>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</si>
  <si>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</si>
  <si>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</si>
  <si>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6" type="noConversion"/>
  </si>
  <si>
    <t>Text Index</t>
    <phoneticPr fontId="6" type="noConversion"/>
  </si>
  <si>
    <t>Description</t>
    <phoneticPr fontId="6"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</si>
  <si>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</si>
  <si>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</si>
  <si>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</si>
  <si>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</si>
  <si>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</si>
  <si>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</si>
  <si>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</si>
  <si>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6" type="noConversion"/>
  </si>
  <si>
    <t>%Work__Complete</t>
    <phoneticPr fontId="6" type="noConversion"/>
  </si>
  <si>
    <t>manual input</t>
    <phoneticPr fontId="2" type="noConversion"/>
  </si>
  <si>
    <t>Actual</t>
    <phoneticPr fontId="2" type="noConversion"/>
  </si>
  <si>
    <t>실적</t>
    <phoneticPr fontId="2" type="noConversion"/>
  </si>
  <si>
    <t>Actual Total__Duration</t>
    <phoneticPr fontId="6"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</si>
  <si>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6"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</si>
  <si>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6" type="noConversion"/>
  </si>
  <si>
    <t>for import columun</t>
    <phoneticPr fontId="6" type="noConversion"/>
  </si>
  <si>
    <t>Actual__Finish</t>
    <phoneticPr fontId="6"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</si>
  <si>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6" type="noConversion"/>
  </si>
  <si>
    <t>Actual__Start</t>
    <phoneticPr fontId="6"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</si>
  <si>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6" type="noConversion"/>
  </si>
  <si>
    <t>Actual__Total Duration</t>
    <phoneticPr fontId="6"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</si>
  <si>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6"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</si>
  <si>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6"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</si>
  <si>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</si>
  <si>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</si>
  <si>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</si>
  <si>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</si>
  <si>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</si>
  <si>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</si>
  <si>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</si>
  <si>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</si>
  <si>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</si>
  <si>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</si>
  <si>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</si>
  <si>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</si>
  <si>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</si>
  <si>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</si>
  <si>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</si>
  <si>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6" type="noConversion"/>
  </si>
  <si>
    <t>Planned__Duration</t>
    <phoneticPr fontId="6" type="noConversion"/>
  </si>
  <si>
    <t>Planned__Work</t>
    <phoneticPr fontId="6"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</si>
  <si>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6"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</si>
  <si>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</si>
  <si>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</si>
  <si>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</si>
  <si>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6"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</si>
  <si>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6" type="noConversion"/>
  </si>
  <si>
    <r>
      <rPr>
        <sz val="9"/>
        <color theme="1"/>
        <rFont val="돋움"/>
        <family val="3"/>
        <charset val="129"/>
      </rPr>
      <t>총</t>
    </r>
    <r>
      <rPr>
        <sz val="9"/>
        <color theme="1"/>
        <rFont val="Calibri"/>
        <family val="2"/>
      </rPr>
      <t>__</t>
    </r>
    <r>
      <rPr>
        <sz val="9"/>
        <color theme="1"/>
        <rFont val="돋움"/>
        <family val="3"/>
        <charset val="129"/>
      </rPr>
      <t>기간</t>
    </r>
    <phoneticPr fontId="6" type="noConversion"/>
  </si>
  <si>
    <t>Total__Work</t>
    <phoneticPr fontId="6" type="noConversion"/>
  </si>
  <si>
    <t>Would you like to update the schedule before saving?</t>
    <phoneticPr fontId="6"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</si>
  <si>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6"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</si>
  <si>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</si>
  <si>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</si>
  <si>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</si>
  <si>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</si>
  <si>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6"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</si>
  <si>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</si>
  <si>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</si>
  <si>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</si>
  <si>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</si>
  <si>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</si>
  <si>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</si>
  <si>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</si>
  <si>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</si>
  <si>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</si>
  <si>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</si>
  <si>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</si>
  <si>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</si>
  <si>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</si>
  <si>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</si>
  <si>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</si>
  <si>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</si>
  <si>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</si>
  <si>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</si>
  <si>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</si>
  <si>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1.2</t>
  </si>
  <si>
    <t>메모장</t>
    <phoneticPr fontId="6" type="noConversion"/>
  </si>
  <si>
    <t>Display font color to the gray for the completed tasks</t>
    <phoneticPr fontId="2" type="noConversion"/>
  </si>
  <si>
    <t>ace</t>
    <phoneticPr fontId="6" type="noConversion"/>
  </si>
  <si>
    <t>txt</t>
    <phoneticPr fontId="6"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</si>
  <si>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</si>
  <si>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</si>
  <si>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6" type="noConversion"/>
  </si>
  <si>
    <t>* 프로젝트 작업량과 진척율을 보여줍니다.</t>
    <phoneticPr fontId="6" type="noConversion"/>
  </si>
  <si>
    <t>* "스케줄업데이트" 버튼 클릭 시 아래 항목이 자동계산됩니다.</t>
    <phoneticPr fontId="6" type="noConversion"/>
  </si>
  <si>
    <t>프로젝트 전체 작업량</t>
    <phoneticPr fontId="6" type="noConversion"/>
  </si>
  <si>
    <t>프로젝트 전체의 작업량을 Man/Day로 표시한다. 가중치를 적용한 값이다.</t>
    <phoneticPr fontId="6" type="noConversion"/>
  </si>
  <si>
    <t>현재일까지 계획된 작업량</t>
    <phoneticPr fontId="6" type="noConversion"/>
  </si>
  <si>
    <t>해당작업의 시작일부터 현재일까지의 작업기간을 의미함(현재 날짜까지 진행되었어야 할 기간)</t>
    <phoneticPr fontId="6" type="noConversion"/>
  </si>
  <si>
    <t>일정변경 관리할 때 현재까지 실제로 투입된 작업기간을 표시함</t>
    <phoneticPr fontId="6" type="noConversion"/>
  </si>
  <si>
    <t>계획 진척율(A)</t>
    <phoneticPr fontId="6" type="noConversion"/>
  </si>
  <si>
    <t>현재날짜까지 계획된 진척율, WBS의 "계획진척율"의 전체 합계 진척율을 표시함</t>
    <phoneticPr fontId="6" type="noConversion"/>
  </si>
  <si>
    <t>실적 진척율(B)</t>
    <phoneticPr fontId="6" type="noConversion"/>
  </si>
  <si>
    <t>현재날짜까지 실제로 진행된 진척율, WBS의 "실적진척율"의 전체 합계 진척율을 표시함</t>
    <phoneticPr fontId="6" type="noConversion"/>
  </si>
  <si>
    <t>차이(B-A)</t>
    <phoneticPr fontId="6" type="noConversion"/>
  </si>
  <si>
    <t>양수이면 계획보다 빨리 진행, 음수이면 지연</t>
    <phoneticPr fontId="6" type="noConversion"/>
  </si>
  <si>
    <t>프로젝트 진행율 - 일정변경 관리하지 않을때</t>
    <phoneticPr fontId="6" type="noConversion"/>
  </si>
  <si>
    <t>시작일</t>
  </si>
  <si>
    <t>완료일</t>
  </si>
  <si>
    <t xml:space="preserve"> 프로젝트 휴무일 Calendar 설정</t>
    <phoneticPr fontId="6"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</si>
  <si>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6" type="noConversion"/>
  </si>
  <si>
    <t>표준캘린더</t>
    <phoneticPr fontId="6" type="noConversion"/>
  </si>
  <si>
    <t>사용자정의 캘린더1</t>
    <phoneticPr fontId="6" type="noConversion"/>
  </si>
  <si>
    <t>사용자정의 캘린더2</t>
    <phoneticPr fontId="6" type="noConversion"/>
  </si>
  <si>
    <t>휴무일명</t>
    <phoneticPr fontId="6" type="noConversion"/>
  </si>
  <si>
    <t>휴무일명</t>
    <phoneticPr fontId="6" type="noConversion"/>
  </si>
  <si>
    <t>휴무일자</t>
    <phoneticPr fontId="6" type="noConversion"/>
  </si>
  <si>
    <t>휴무일자</t>
    <phoneticPr fontId="6" type="noConversion"/>
  </si>
  <si>
    <t>더 이상 입력불가</t>
    <phoneticPr fontId="6" type="noConversion"/>
  </si>
  <si>
    <t>가중치</t>
    <phoneticPr fontId="6" type="noConversion"/>
  </si>
  <si>
    <t>자동지정</t>
    <phoneticPr fontId="6" type="noConversion"/>
  </si>
  <si>
    <t>doc*</t>
    <phoneticPr fontId="6" type="noConversion"/>
  </si>
  <si>
    <t>Auto CAD</t>
    <phoneticPr fontId="6" type="noConversion"/>
  </si>
  <si>
    <t>E</t>
    <phoneticPr fontId="2" type="noConversion"/>
  </si>
  <si>
    <t>wbs_level</t>
    <phoneticPr fontId="6" type="noConversion"/>
  </si>
  <si>
    <t>실적*</t>
    <phoneticPr fontId="6" type="noConversion"/>
  </si>
  <si>
    <t>TODAY</t>
    <phoneticPr fontId="2" type="noConversion"/>
  </si>
  <si>
    <t>DEFINED</t>
    <phoneticPr fontId="6" type="noConversion"/>
  </si>
  <si>
    <t>아크로에디터</t>
    <phoneticPr fontId="6" type="noConversion"/>
  </si>
  <si>
    <t>C:\WINDOWS\system32\notepad.exe</t>
    <phoneticPr fontId="6" type="noConversion"/>
  </si>
  <si>
    <t>비고</t>
    <phoneticPr fontId="6" type="noConversion"/>
  </si>
  <si>
    <t>실제_x000D_
완료일</t>
    <phoneticPr fontId="6" type="noConversion"/>
  </si>
  <si>
    <t>WBS</t>
    <phoneticPr fontId="6" type="noConversion"/>
  </si>
  <si>
    <t>작업*</t>
    <phoneticPr fontId="6" type="noConversion"/>
  </si>
  <si>
    <t>완료일*</t>
    <phoneticPr fontId="6" type="noConversion"/>
  </si>
  <si>
    <t>실제_x000D_
총작업량</t>
    <phoneticPr fontId="6" type="noConversion"/>
  </si>
  <si>
    <t>실제_x000D_
총기간</t>
    <phoneticPr fontId="6" type="noConversion"/>
  </si>
  <si>
    <t>파워포인트</t>
    <phoneticPr fontId="6" type="noConversion"/>
  </si>
  <si>
    <t>ppt*</t>
    <phoneticPr fontId="6" type="noConversion"/>
  </si>
  <si>
    <t>워드</t>
    <phoneticPr fontId="6" type="noConversion"/>
  </si>
  <si>
    <t>엑셀</t>
    <phoneticPr fontId="6" type="noConversion"/>
  </si>
  <si>
    <t>xls*</t>
    <phoneticPr fontId="6" type="noConversion"/>
  </si>
  <si>
    <t>cad</t>
    <phoneticPr fontId="6" type="noConversion"/>
  </si>
  <si>
    <t>c:\cad\cad\cad.exe</t>
    <phoneticPr fontId="6" type="noConversion"/>
  </si>
  <si>
    <t>c:\ace\aaa.exe</t>
    <phoneticPr fontId="6" type="noConversion"/>
  </si>
  <si>
    <t>reserved</t>
    <phoneticPr fontId="6" type="noConversion"/>
  </si>
  <si>
    <t>task_group</t>
    <phoneticPr fontId="6" type="noConversion"/>
  </si>
  <si>
    <t>산출물</t>
    <phoneticPr fontId="6" type="noConversion"/>
  </si>
  <si>
    <t>일정변경관리 하지 않을 때 현재까지 실제로 진행된 작업기간을 표시함(총기간 x 총실적진행율)</t>
    <phoneticPr fontId="6" type="noConversion"/>
  </si>
  <si>
    <t>시작일*</t>
    <phoneticPr fontId="6" type="noConversion"/>
  </si>
  <si>
    <t>총_x000D_
기간</t>
    <phoneticPr fontId="6" type="noConversion"/>
  </si>
  <si>
    <t>총_x000D_
작업량</t>
    <phoneticPr fontId="6" type="noConversion"/>
  </si>
  <si>
    <t>계획_x000D_
작업량</t>
    <phoneticPr fontId="6" type="noConversion"/>
  </si>
  <si>
    <t>계획</t>
    <phoneticPr fontId="6" type="noConversion"/>
  </si>
  <si>
    <t>{"TASK_FIRST_COL":"5","START_ROW":"5","WBS_AREA_LAST_COL":"28"}</t>
    <phoneticPr fontId="6" type="noConversion"/>
  </si>
  <si>
    <t>SCHEDULE_SHEET_POSITION:3545121314151617181920212223242526272829</t>
    <phoneticPr fontId="2" type="noConversion"/>
  </si>
  <si>
    <t>실제_x000D_
시작일</t>
    <phoneticPr fontId="6" type="noConversion"/>
  </si>
  <si>
    <t>Calendar</t>
    <phoneticPr fontId="6" type="noConversion"/>
  </si>
  <si>
    <t>계획_x000D_
기간</t>
    <phoneticPr fontId="6" type="noConversion"/>
  </si>
  <si>
    <t>담당</t>
    <phoneticPr fontId="6" type="noConversion"/>
  </si>
  <si>
    <t>가중치</t>
  </si>
  <si>
    <t>담당</t>
  </si>
  <si>
    <t>TOTI</t>
    <phoneticPr fontId="2" type="noConversion"/>
  </si>
  <si>
    <t>모두</t>
  </si>
  <si>
    <t>담당별 진행율</t>
  </si>
  <si>
    <t>* 담당별로 투입된 Task와 총작업량, 계획작업량, 진척작업을 Man-day로 보여주고, 계획/실적 진행율을 보여줍니다.</t>
  </si>
  <si>
    <t>* "담당별진행율" 메뉴를 클릭해야 내용이 갱신됩니다.</t>
  </si>
  <si>
    <t>작업</t>
  </si>
  <si>
    <t>총작업량(A)_x000D_
Man-day</t>
  </si>
  <si>
    <t>계획작업량(B)_x000D_
Man-day</t>
  </si>
  <si>
    <t>진척작업량( C )_x000D_
Man-day</t>
  </si>
  <si>
    <t>계획(B/A)</t>
  </si>
  <si>
    <t>실적(C/A)</t>
  </si>
  <si>
    <t>차이(실적-계획)</t>
  </si>
  <si>
    <t>모두 요약</t>
  </si>
  <si>
    <t>총합계</t>
  </si>
  <si>
    <t>주제선정</t>
  </si>
  <si>
    <t>기능정의서</t>
  </si>
  <si>
    <t>업무분담</t>
  </si>
  <si>
    <t>타임테이블</t>
  </si>
  <si>
    <t>데이터베이스 설계</t>
  </si>
  <si>
    <t>정보구조 설계</t>
  </si>
  <si>
    <t>화면설계</t>
  </si>
  <si>
    <t>프로젝트 설계</t>
  </si>
  <si>
    <t>시스템 설계</t>
  </si>
  <si>
    <t>1.3</t>
  </si>
  <si>
    <t>1.4</t>
  </si>
  <si>
    <t>1.5</t>
  </si>
  <si>
    <t>1.6</t>
  </si>
  <si>
    <t>1.7</t>
  </si>
  <si>
    <t>1.8</t>
  </si>
  <si>
    <t xml:space="preserve">  일별보기, Zoom 200%</t>
  </si>
  <si>
    <t>2.1.1</t>
  </si>
  <si>
    <t>1차 개발</t>
  </si>
  <si>
    <t>2</t>
  </si>
  <si>
    <t>2.1</t>
  </si>
  <si>
    <t>2.2</t>
  </si>
  <si>
    <t>요청하기</t>
  </si>
  <si>
    <t>추천 고수 리스트 출력</t>
  </si>
  <si>
    <t>보낸 요청 확인</t>
  </si>
  <si>
    <t>요청서 작성</t>
  </si>
  <si>
    <t>보낸요청</t>
  </si>
  <si>
    <t>보낸 요청 목록</t>
  </si>
  <si>
    <t>요청 취소</t>
  </si>
  <si>
    <t>강다희</t>
  </si>
  <si>
    <t>2.1.2</t>
  </si>
  <si>
    <t>2.1.3</t>
  </si>
  <si>
    <t>2.2.1</t>
  </si>
  <si>
    <t>2.2.2</t>
  </si>
  <si>
    <t>리뷰작성기능</t>
  </si>
  <si>
    <t>채팅</t>
  </si>
  <si>
    <t>2.4.1</t>
  </si>
  <si>
    <t xml:space="preserve">node.js 이용한 스프링 기반의 웹 채팅 </t>
  </si>
  <si>
    <t>백민종</t>
  </si>
  <si>
    <t>2.3</t>
  </si>
  <si>
    <t>2.4</t>
  </si>
  <si>
    <t>회원가입</t>
  </si>
  <si>
    <t>로그인</t>
  </si>
  <si>
    <t>마이페이지</t>
  </si>
  <si>
    <t>개인정보변경</t>
  </si>
  <si>
    <t>고수 등록</t>
  </si>
  <si>
    <t>2.7.1</t>
  </si>
  <si>
    <t>2.7.2</t>
  </si>
  <si>
    <t>유동준</t>
  </si>
  <si>
    <t>2.5</t>
  </si>
  <si>
    <t>2.6</t>
  </si>
  <si>
    <t>2.7</t>
  </si>
  <si>
    <t>제공 서비스 관리</t>
  </si>
  <si>
    <t>2.8.1</t>
  </si>
  <si>
    <t>2.8.2</t>
  </si>
  <si>
    <t>2.8.3</t>
  </si>
  <si>
    <t>랭킹</t>
  </si>
  <si>
    <t>고수 랭킹</t>
  </si>
  <si>
    <t>검색</t>
  </si>
  <si>
    <t>고수페이지</t>
  </si>
  <si>
    <t>받은 요청</t>
  </si>
  <si>
    <t>받은 요청 목록</t>
  </si>
  <si>
    <t>견적서 작성</t>
  </si>
  <si>
    <t>송주은</t>
  </si>
  <si>
    <t>제공 서비스 추가</t>
  </si>
  <si>
    <t>제공 서비스 삭제</t>
  </si>
  <si>
    <t>2.8</t>
  </si>
  <si>
    <t>2.9</t>
  </si>
  <si>
    <t>2.9.1</t>
  </si>
  <si>
    <t>2.9.2</t>
  </si>
  <si>
    <t>2.10</t>
  </si>
  <si>
    <t>2.10.1</t>
  </si>
  <si>
    <t>2.10.2</t>
  </si>
  <si>
    <t>2.11</t>
  </si>
  <si>
    <t>질문 관리</t>
  </si>
  <si>
    <t>프로필설정</t>
  </si>
  <si>
    <t>고수프로필 추가</t>
  </si>
  <si>
    <t>2.12</t>
  </si>
  <si>
    <t>2.12.1</t>
  </si>
  <si>
    <t>고수프로필 수정</t>
  </si>
  <si>
    <t>2.12.2</t>
  </si>
  <si>
    <t>한혜원</t>
  </si>
  <si>
    <t>2.13</t>
  </si>
  <si>
    <t>리뷰 요청/작성</t>
  </si>
  <si>
    <t>1.9</t>
  </si>
  <si>
    <t>순서도 작성</t>
  </si>
  <si>
    <t>데이터베이스 연동</t>
  </si>
  <si>
    <t>프로젝트 설정</t>
  </si>
  <si>
    <t>1.10</t>
  </si>
  <si>
    <t>1.11</t>
  </si>
  <si>
    <t>프로젝트 기본 템플릿 적용</t>
  </si>
  <si>
    <t>1.12</t>
  </si>
  <si>
    <t>2.2.3</t>
  </si>
  <si>
    <t>받은견적서 리스트 출력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</si>
</sst>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7">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2"/>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11"/>
      <name val="Calibri"/>
      <family val="2"/>
    </font>
    <font>
      <sz val="12"/>
      <color rgb="FF0070C0"/>
      <name val="Calibri"/>
      <family val="2"/>
    </font>
    <font>
      <b/>
      <sz val="12"/>
      <name val="Calibri"/>
      <family val="2"/>
    </font>
    <font>
      <sz val="12"/>
      <color theme="1" tint="0.34998626667073579"/>
      <name val="Calibri"/>
      <family val="2"/>
    </font>
    <font>
      <sz val="12"/>
      <color theme="0"/>
      <name val="Calibri"/>
      <family val="2"/>
    </font>
    <font>
      <sz val="12"/>
      <name val="Calibri"/>
      <family val="2"/>
    </font>
    <font>
      <sz val="12"/>
      <color rgb="FFFF8800"/>
      <name val="Calibri"/>
      <family val="2"/>
    </font>
    <font>
      <sz val="12"/>
      <name val="Calibri"/>
      <family val="3"/>
      <charset val="129"/>
    </font>
    <font>
      <sz val="12"/>
      <name val="돋움"/>
      <family val="3"/>
      <charset val="129"/>
    </font>
    <font>
      <sz val="12"/>
      <name val="돋움"/>
      <family val="2"/>
      <charset val="129"/>
    </font>
    <font>
      <sz val="12"/>
      <name val="맑은 고딕"/>
      <family val="2"/>
      <charset val="129"/>
    </font>
    <font>
      <sz val="12"/>
      <name val="맑은 고딕"/>
      <family val="3"/>
      <charset val="129"/>
    </font>
    <font>
      <sz val="11"/>
      <color theme="1"/>
      <name val="Calibri"/>
      <family val="2"/>
    </font>
    <font>
      <sz val="12"/>
      <color theme="1"/>
      <name val="Calibri"/>
      <family val="2"/>
    </font>
    <font>
      <sz val="11"/>
      <color theme="1"/>
      <name val="돋움"/>
      <family val="2"/>
      <charset val="129"/>
    </font>
    <font>
      <strike/>
      <sz val="12"/>
      <name val="Calibri"/>
      <family val="2"/>
    </font>
    <font>
      <strike/>
      <sz val="12"/>
      <name val="맑은 고딕"/>
      <family val="2"/>
      <charset val="129"/>
    </font>
    <font>
      <strike/>
      <sz val="12"/>
      <name val="돋움"/>
      <family val="3"/>
      <charset val="129"/>
    </font>
    <font>
      <strike/>
      <sz val="12"/>
      <name val="돋움"/>
      <family val="2"/>
      <charset val="129"/>
    </font>
    <font>
      <strike/>
      <sz val="12"/>
      <color theme="1"/>
      <name val="Calibri"/>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3" tint="0.79995117038483843"/>
        <bgColor indexed="64"/>
      </patternFill>
    </fill>
  </fills>
  <borders count="2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7" fillId="0" borderId="0" applyFont="0" applyFill="0" applyBorder="0" applyAlignment="0" applyProtection="0">
      <alignment vertical="center"/>
    </xf>
    <xf numFmtId="0" fontId="7" fillId="0" borderId="0"/>
    <xf numFmtId="0" fontId="21" fillId="0" borderId="0"/>
    <xf numFmtId="9" fontId="24" fillId="0" borderId="0" applyFont="0" applyFill="0" applyBorder="0" applyAlignment="0" applyProtection="0">
      <alignment vertical="center"/>
    </xf>
  </cellStyleXfs>
  <cellXfs count="275">
    <xf numFmtId="0" fontId="0" fillId="0" borderId="0" xfId="0"/>
    <xf numFmtId="0" fontId="11" fillId="0" borderId="0" xfId="1" applyFont="1" applyFill="1" applyBorder="1" applyAlignment="1">
      <alignment vertical="center"/>
    </xf>
    <xf numFmtId="0" fontId="8"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9" fillId="4" borderId="1" xfId="4" applyFont="1" applyFill="1" applyBorder="1" applyAlignment="1">
      <alignment horizontal="center" vertical="center"/>
    </xf>
    <xf numFmtId="0" fontId="9" fillId="4" borderId="1" xfId="4" applyFont="1" applyFill="1" applyBorder="1" applyAlignment="1">
      <alignment horizontal="center" vertical="center" wrapText="1"/>
    </xf>
    <xf numFmtId="0" fontId="27" fillId="0" borderId="0" xfId="0" applyFont="1" applyAlignment="1">
      <alignment vertical="top"/>
    </xf>
    <xf numFmtId="0" fontId="27" fillId="0" borderId="0" xfId="0" applyFont="1" applyAlignment="1">
      <alignment vertical="top" wrapText="1"/>
    </xf>
    <xf numFmtId="0" fontId="28" fillId="0" borderId="0" xfId="5" applyFont="1" applyFill="1" applyBorder="1" applyAlignment="1">
      <alignment horizontal="left" vertical="top" wrapText="1"/>
    </xf>
    <xf numFmtId="0" fontId="28" fillId="0" borderId="0" xfId="5" applyFont="1" applyFill="1" applyBorder="1" applyAlignment="1">
      <alignment horizontal="left" vertical="top"/>
    </xf>
    <xf numFmtId="0" fontId="10" fillId="0" borderId="0" xfId="4" applyFont="1" applyAlignment="1">
      <alignment vertical="top"/>
    </xf>
    <xf numFmtId="0" fontId="10" fillId="0" borderId="0" xfId="5" applyFont="1" applyFill="1" applyBorder="1" applyAlignment="1">
      <alignment horizontal="left" vertical="top"/>
    </xf>
    <xf numFmtId="0" fontId="28" fillId="0" borderId="0" xfId="5" applyNumberFormat="1" applyFont="1" applyFill="1" applyBorder="1" applyAlignment="1">
      <alignment horizontal="left" vertical="top" wrapText="1"/>
    </xf>
    <xf numFmtId="14" fontId="28"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2" fillId="0" borderId="0" xfId="0" applyFont="1" applyAlignment="1">
      <alignment vertical="top"/>
    </xf>
    <xf numFmtId="0" fontId="33" fillId="0" borderId="0" xfId="5" applyFont="1" applyFill="1" applyBorder="1" applyAlignment="1">
      <alignment horizontal="left" vertical="top" wrapText="1"/>
    </xf>
    <xf numFmtId="0" fontId="31" fillId="0" borderId="0" xfId="5" applyFont="1" applyFill="1" applyBorder="1" applyAlignment="1">
      <alignment horizontal="left" vertical="top"/>
    </xf>
    <xf numFmtId="0" fontId="27" fillId="0" borderId="0" xfId="0" applyFont="1" applyAlignment="1">
      <alignment horizontal="center" vertical="top"/>
    </xf>
    <xf numFmtId="0" fontId="28" fillId="0" borderId="0" xfId="0" applyFont="1" applyAlignment="1">
      <alignment vertical="top" wrapText="1"/>
    </xf>
    <xf numFmtId="0" fontId="4" fillId="11" borderId="0" xfId="1" applyFont="1" applyFill="1" applyBorder="1" applyAlignment="1">
      <alignment horizontal="left" vertical="top"/>
    </xf>
    <xf numFmtId="0" fontId="4" fillId="11" borderId="0" xfId="2" applyFont="1" applyFill="1" applyBorder="1" applyAlignment="1">
      <alignment horizontal="right" vertical="top"/>
    </xf>
    <xf numFmtId="0" fontId="4" fillId="11" borderId="0" xfId="2" applyFont="1" applyFill="1" applyBorder="1" applyAlignment="1">
      <alignment horizontal="right" vertical="center"/>
    </xf>
    <xf numFmtId="0" fontId="26" fillId="11" borderId="0" xfId="1" applyFont="1" applyFill="1" applyBorder="1" applyAlignment="1">
      <alignment horizontal="left" vertical="top"/>
    </xf>
    <xf numFmtId="0" fontId="25" fillId="11" borderId="0" xfId="1" applyFont="1" applyFill="1" applyBorder="1" applyAlignment="1">
      <alignment horizontal="left" vertical="center"/>
    </xf>
    <xf numFmtId="0" fontId="29" fillId="0" borderId="0" xfId="0" applyFont="1" applyAlignment="1">
      <alignment vertical="top" wrapText="1"/>
    </xf>
    <xf numFmtId="0" fontId="34" fillId="0" borderId="0" xfId="0" applyFont="1" applyAlignment="1">
      <alignment vertical="top" wrapText="1"/>
    </xf>
    <xf numFmtId="0" fontId="30" fillId="0" borderId="0" xfId="5" applyFont="1" applyFill="1" applyBorder="1" applyAlignment="1">
      <alignment horizontal="left" vertical="top" wrapText="1"/>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13" fillId="0" borderId="0" xfId="4" applyFont="1" applyBorder="1"/>
    <xf numFmtId="14" fontId="13" fillId="0" borderId="0" xfId="4" applyNumberFormat="1" applyFont="1" applyBorder="1"/>
    <xf numFmtId="0" fontId="3" fillId="0" borderId="0" xfId="2" applyBorder="1"/>
    <xf numFmtId="0" fontId="37" fillId="12" borderId="0" xfId="4" applyFont="1" applyFill="1" applyBorder="1"/>
    <xf numFmtId="0" fontId="3" fillId="12" borderId="0" xfId="2" applyFill="1" applyBorder="1"/>
    <xf numFmtId="0" fontId="13" fillId="12" borderId="0" xfId="4" applyFont="1" applyFill="1" applyBorder="1"/>
    <xf numFmtId="14" fontId="13" fillId="12" borderId="0" xfId="4" applyNumberFormat="1" applyFont="1" applyFill="1" applyBorder="1"/>
    <xf numFmtId="10" fontId="13" fillId="0" borderId="0" xfId="4" applyNumberFormat="1" applyFont="1" applyBorder="1"/>
    <xf numFmtId="10" fontId="13" fillId="12" borderId="0" xfId="4" applyNumberFormat="1" applyFont="1" applyFill="1" applyBorder="1"/>
    <xf numFmtId="0" fontId="4" fillId="11" borderId="0" xfId="1" applyFont="1" applyFill="1" applyBorder="1" applyAlignment="1">
      <alignment horizontal="left" vertical="center"/>
    </xf>
    <xf numFmtId="0" fontId="4" fillId="11" borderId="0" xfId="1" applyFont="1" applyFill="1" applyBorder="1" applyAlignment="1">
      <alignment vertical="center"/>
    </xf>
    <xf numFmtId="14" fontId="4" fillId="11" borderId="0" xfId="1" applyNumberFormat="1" applyFont="1" applyFill="1" applyBorder="1" applyAlignment="1">
      <alignment vertical="top"/>
    </xf>
    <xf numFmtId="14" fontId="38" fillId="11" borderId="0" xfId="1" applyNumberFormat="1" applyFont="1" applyFill="1" applyBorder="1" applyAlignment="1">
      <alignment horizontal="left" vertical="top" wrapText="1"/>
    </xf>
    <xf numFmtId="0" fontId="4" fillId="11" borderId="0" xfId="1" applyFont="1" applyFill="1" applyBorder="1" applyAlignment="1">
      <alignment horizontal="center" vertical="top"/>
    </xf>
    <xf numFmtId="0" fontId="4" fillId="11" borderId="0" xfId="1" applyNumberFormat="1" applyFont="1" applyFill="1" applyBorder="1" applyAlignment="1">
      <alignment horizontal="center" vertical="top"/>
    </xf>
    <xf numFmtId="14" fontId="4" fillId="11" borderId="0" xfId="1" applyNumberFormat="1" applyFont="1" applyFill="1" applyBorder="1" applyAlignment="1">
      <alignment horizontal="center" vertical="top"/>
    </xf>
    <xf numFmtId="1" fontId="4" fillId="11" borderId="0" xfId="1" applyNumberFormat="1" applyFont="1" applyFill="1" applyBorder="1" applyAlignment="1">
      <alignment horizontal="center" vertical="top"/>
    </xf>
    <xf numFmtId="0" fontId="4" fillId="11" borderId="0" xfId="2" applyFont="1" applyFill="1" applyBorder="1" applyAlignment="1">
      <alignment vertical="top" wrapText="1"/>
    </xf>
    <xf numFmtId="0" fontId="4" fillId="11" borderId="0" xfId="2" applyNumberFormat="1" applyFont="1" applyFill="1" applyBorder="1" applyAlignment="1">
      <alignment vertical="top"/>
    </xf>
    <xf numFmtId="0" fontId="4" fillId="11" borderId="0" xfId="2" applyFont="1" applyFill="1" applyBorder="1" applyAlignment="1">
      <alignment vertical="top"/>
    </xf>
    <xf numFmtId="0" fontId="39" fillId="11" borderId="0" xfId="1" applyFont="1" applyFill="1" applyBorder="1" applyAlignment="1">
      <alignment horizontal="left" vertical="center"/>
    </xf>
    <xf numFmtId="0" fontId="40" fillId="11" borderId="0" xfId="2" applyNumberFormat="1" applyFont="1" applyFill="1" applyBorder="1" applyAlignment="1">
      <alignment horizontal="right" vertical="center"/>
    </xf>
    <xf numFmtId="10" fontId="40" fillId="11" borderId="0" xfId="3" applyNumberFormat="1" applyFont="1" applyFill="1" applyBorder="1" applyAlignment="1">
      <alignment horizontal="right" vertical="center"/>
    </xf>
    <xf numFmtId="0" fontId="26" fillId="11" borderId="0" xfId="2" applyNumberFormat="1" applyFont="1" applyFill="1" applyBorder="1" applyAlignment="1">
      <alignment vertical="top"/>
    </xf>
    <xf numFmtId="0" fontId="26" fillId="11" borderId="0" xfId="2" applyNumberFormat="1" applyFont="1" applyFill="1" applyBorder="1" applyAlignment="1">
      <alignment horizontal="right" vertical="top"/>
    </xf>
    <xf numFmtId="0" fontId="42" fillId="0" borderId="0" xfId="1" applyFont="1" applyFill="1" applyBorder="1" applyAlignment="1">
      <alignment horizontal="left" vertical="center"/>
    </xf>
    <xf numFmtId="178" fontId="43" fillId="5" borderId="4" xfId="4" applyNumberFormat="1" applyFont="1" applyFill="1" applyBorder="1" applyAlignment="1" applyProtection="1">
      <alignment horizontal="left" vertical="center"/>
    </xf>
    <xf numFmtId="178" fontId="43" fillId="5" borderId="5" xfId="4" applyNumberFormat="1" applyFont="1" applyFill="1" applyBorder="1" applyAlignment="1" applyProtection="1">
      <alignment horizontal="left" vertical="center"/>
    </xf>
    <xf numFmtId="178" fontId="43" fillId="5" borderId="6" xfId="4" applyNumberFormat="1" applyFont="1" applyFill="1" applyBorder="1" applyAlignment="1" applyProtection="1">
      <alignment horizontal="left" vertical="center"/>
    </xf>
    <xf numFmtId="0" fontId="42" fillId="0" borderId="2" xfId="4" applyFont="1" applyFill="1" applyBorder="1" applyAlignment="1" applyProtection="1">
      <alignment horizontal="left" vertical="center"/>
    </xf>
    <xf numFmtId="0" fontId="42" fillId="0" borderId="7" xfId="4" applyFont="1" applyFill="1" applyBorder="1" applyAlignment="1" applyProtection="1">
      <alignment vertical="top"/>
      <protection locked="0"/>
    </xf>
    <xf numFmtId="0" fontId="42" fillId="0" borderId="7" xfId="4" quotePrefix="1" applyFont="1" applyFill="1" applyBorder="1" applyAlignment="1" applyProtection="1">
      <alignment horizontal="right" vertical="top"/>
      <protection locked="0"/>
    </xf>
    <xf numFmtId="0" fontId="44" fillId="0" borderId="7" xfId="4" applyFont="1" applyFill="1" applyBorder="1" applyAlignment="1" applyProtection="1">
      <alignment horizontal="left" vertical="top"/>
      <protection locked="0"/>
    </xf>
    <xf numFmtId="0" fontId="42" fillId="0" borderId="7" xfId="4" applyFont="1" applyFill="1" applyBorder="1" applyAlignment="1" applyProtection="1">
      <alignment horizontal="left" vertical="top"/>
      <protection locked="0"/>
    </xf>
    <xf numFmtId="14" fontId="42" fillId="0" borderId="7" xfId="4" applyNumberFormat="1" applyFont="1" applyFill="1" applyBorder="1" applyAlignment="1" applyProtection="1">
      <alignment horizontal="center" vertical="top"/>
      <protection locked="0"/>
    </xf>
    <xf numFmtId="0" fontId="42" fillId="0" borderId="7" xfId="4" applyNumberFormat="1" applyFont="1" applyFill="1" applyBorder="1" applyAlignment="1" applyProtection="1">
      <alignment horizontal="left" vertical="top"/>
      <protection locked="0"/>
    </xf>
    <xf numFmtId="176" fontId="42" fillId="0" borderId="7" xfId="4" applyNumberFormat="1" applyFont="1" applyFill="1" applyBorder="1" applyAlignment="1" applyProtection="1">
      <alignment horizontal="center" vertical="top"/>
      <protection locked="0"/>
    </xf>
    <xf numFmtId="0" fontId="42" fillId="0" borderId="7" xfId="4" applyNumberFormat="1" applyFont="1" applyFill="1" applyBorder="1" applyAlignment="1" applyProtection="1">
      <alignment horizontal="center" vertical="top"/>
      <protection locked="0"/>
    </xf>
    <xf numFmtId="177" fontId="42" fillId="0" borderId="7" xfId="4" applyNumberFormat="1" applyFont="1" applyFill="1" applyBorder="1" applyAlignment="1" applyProtection="1">
      <alignment horizontal="center" vertical="top"/>
      <protection locked="0"/>
    </xf>
    <xf numFmtId="1" fontId="42" fillId="0" borderId="7" xfId="4" applyNumberFormat="1" applyFont="1" applyFill="1" applyBorder="1" applyAlignment="1" applyProtection="1">
      <alignment horizontal="center" vertical="top"/>
      <protection locked="0"/>
    </xf>
    <xf numFmtId="179" fontId="42" fillId="0" borderId="7" xfId="4" applyNumberFormat="1" applyFont="1" applyFill="1" applyBorder="1" applyAlignment="1" applyProtection="1">
      <alignment horizontal="center" vertical="top"/>
      <protection locked="0"/>
    </xf>
    <xf numFmtId="14" fontId="42" fillId="0" borderId="7" xfId="4" applyNumberFormat="1" applyFont="1" applyFill="1" applyBorder="1" applyAlignment="1" applyProtection="1">
      <alignment horizontal="left" vertical="top"/>
      <protection locked="0"/>
    </xf>
    <xf numFmtId="10" fontId="42" fillId="0" borderId="7" xfId="6" applyNumberFormat="1" applyFont="1" applyFill="1" applyBorder="1" applyAlignment="1" applyProtection="1">
      <alignment horizontal="right" vertical="top" wrapText="1"/>
      <protection locked="0"/>
    </xf>
    <xf numFmtId="10" fontId="42" fillId="0" borderId="7" xfId="6" applyNumberFormat="1" applyFont="1" applyFill="1" applyBorder="1" applyAlignment="1" applyProtection="1">
      <alignment horizontal="right" vertical="top"/>
      <protection locked="0"/>
    </xf>
    <xf numFmtId="0" fontId="42" fillId="0" borderId="21" xfId="4" applyFont="1" applyFill="1" applyBorder="1" applyAlignment="1" applyProtection="1">
      <alignment horizontal="left" vertical="center"/>
      <protection locked="0"/>
    </xf>
    <xf numFmtId="0" fontId="42" fillId="0" borderId="8" xfId="4" applyFont="1" applyFill="1" applyBorder="1" applyAlignment="1" applyProtection="1">
      <alignment horizontal="left" vertical="center"/>
      <protection locked="0"/>
    </xf>
    <xf numFmtId="0" fontId="42" fillId="0" borderId="9"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0" fontId="42" fillId="0" borderId="25" xfId="4" applyFont="1" applyFill="1" applyBorder="1" applyAlignment="1" applyProtection="1">
      <alignment vertical="top"/>
      <protection locked="0"/>
    </xf>
    <xf numFmtId="0" fontId="42" fillId="0" borderId="25" xfId="4" quotePrefix="1" applyFont="1" applyFill="1" applyBorder="1" applyAlignment="1" applyProtection="1">
      <alignment horizontal="right" vertical="top"/>
      <protection locked="0"/>
    </xf>
    <xf numFmtId="0" fontId="42" fillId="0" borderId="25" xfId="4" applyFont="1" applyFill="1" applyBorder="1" applyAlignment="1" applyProtection="1">
      <alignment horizontal="left" vertical="top"/>
      <protection locked="0"/>
    </xf>
    <xf numFmtId="14" fontId="42" fillId="0" borderId="25" xfId="4" applyNumberFormat="1" applyFont="1" applyFill="1" applyBorder="1" applyAlignment="1" applyProtection="1">
      <alignment horizontal="center" vertical="top"/>
      <protection locked="0"/>
    </xf>
    <xf numFmtId="0" fontId="42" fillId="0" borderId="25" xfId="4" applyNumberFormat="1" applyFont="1" applyFill="1" applyBorder="1" applyAlignment="1" applyProtection="1">
      <alignment horizontal="left" vertical="top"/>
      <protection locked="0"/>
    </xf>
    <xf numFmtId="176" fontId="42" fillId="0" borderId="25" xfId="4" applyNumberFormat="1" applyFont="1" applyFill="1" applyBorder="1" applyAlignment="1" applyProtection="1">
      <alignment horizontal="center" vertical="top"/>
      <protection locked="0"/>
    </xf>
    <xf numFmtId="0" fontId="42" fillId="0" borderId="25" xfId="4" applyNumberFormat="1" applyFont="1" applyFill="1" applyBorder="1" applyAlignment="1" applyProtection="1">
      <alignment horizontal="center" vertical="top"/>
      <protection locked="0"/>
    </xf>
    <xf numFmtId="177" fontId="42" fillId="0" borderId="25" xfId="4" applyNumberFormat="1" applyFont="1" applyFill="1" applyBorder="1" applyAlignment="1" applyProtection="1">
      <alignment horizontal="center" vertical="top"/>
      <protection locked="0"/>
    </xf>
    <xf numFmtId="1" fontId="42" fillId="0" borderId="25" xfId="4" applyNumberFormat="1" applyFont="1" applyFill="1" applyBorder="1" applyAlignment="1" applyProtection="1">
      <alignment horizontal="center" vertical="top"/>
      <protection locked="0"/>
    </xf>
    <xf numFmtId="179" fontId="42" fillId="0" borderId="25" xfId="4" applyNumberFormat="1" applyFont="1" applyFill="1" applyBorder="1" applyAlignment="1" applyProtection="1">
      <alignment horizontal="center" vertical="top"/>
      <protection locked="0"/>
    </xf>
    <xf numFmtId="14" fontId="42" fillId="0" borderId="25" xfId="4" applyNumberFormat="1" applyFont="1" applyFill="1" applyBorder="1" applyAlignment="1" applyProtection="1">
      <alignment horizontal="left" vertical="top"/>
      <protection locked="0"/>
    </xf>
    <xf numFmtId="10" fontId="42" fillId="0" borderId="25" xfId="6" applyNumberFormat="1" applyFont="1" applyFill="1" applyBorder="1" applyAlignment="1" applyProtection="1">
      <alignment horizontal="right" vertical="top" wrapText="1"/>
      <protection locked="0"/>
    </xf>
    <xf numFmtId="10" fontId="42" fillId="0" borderId="25" xfId="6" applyNumberFormat="1" applyFont="1" applyFill="1" applyBorder="1" applyAlignment="1" applyProtection="1">
      <alignment horizontal="right" vertical="top"/>
      <protection locked="0"/>
    </xf>
    <xf numFmtId="0" fontId="42" fillId="0" borderId="23" xfId="4" applyFont="1" applyFill="1" applyBorder="1" applyAlignment="1" applyProtection="1">
      <alignment horizontal="left" vertical="center"/>
      <protection locked="0"/>
    </xf>
    <xf numFmtId="0" fontId="46" fillId="0" borderId="7" xfId="4" applyFont="1" applyFill="1" applyBorder="1" applyAlignment="1" applyProtection="1">
      <alignment horizontal="left" vertical="top"/>
      <protection locked="0"/>
    </xf>
    <xf numFmtId="0" fontId="42" fillId="0" borderId="7" xfId="4" applyFont="1" applyFill="1" applyBorder="1" applyAlignment="1" applyProtection="1">
      <alignment horizontal="right" vertical="top"/>
      <protection locked="0"/>
    </xf>
    <xf numFmtId="0" fontId="42" fillId="0" borderId="22" xfId="4" applyFont="1" applyFill="1" applyBorder="1" applyAlignment="1" applyProtection="1">
      <alignment vertical="top"/>
      <protection locked="0"/>
    </xf>
    <xf numFmtId="0" fontId="42" fillId="0" borderId="22" xfId="4" applyFont="1" applyFill="1" applyBorder="1" applyAlignment="1" applyProtection="1">
      <alignment horizontal="right" vertical="top"/>
      <protection locked="0"/>
    </xf>
    <xf numFmtId="0" fontId="42" fillId="0" borderId="22" xfId="4" applyFont="1" applyFill="1" applyBorder="1" applyAlignment="1" applyProtection="1">
      <alignment horizontal="left" vertical="top"/>
      <protection locked="0"/>
    </xf>
    <xf numFmtId="14" fontId="42" fillId="0" borderId="22" xfId="4" applyNumberFormat="1" applyFont="1" applyFill="1" applyBorder="1" applyAlignment="1" applyProtection="1">
      <alignment horizontal="center" vertical="top"/>
      <protection locked="0"/>
    </xf>
    <xf numFmtId="0" fontId="42" fillId="0" borderId="22" xfId="4" applyNumberFormat="1" applyFont="1" applyFill="1" applyBorder="1" applyAlignment="1" applyProtection="1">
      <alignment horizontal="left" vertical="top"/>
      <protection locked="0"/>
    </xf>
    <xf numFmtId="176" fontId="42" fillId="0" borderId="22" xfId="4" applyNumberFormat="1" applyFont="1" applyFill="1" applyBorder="1" applyAlignment="1" applyProtection="1">
      <alignment horizontal="center" vertical="top"/>
      <protection locked="0"/>
    </xf>
    <xf numFmtId="0" fontId="42" fillId="0" borderId="22" xfId="4" applyNumberFormat="1" applyFont="1" applyFill="1" applyBorder="1" applyAlignment="1" applyProtection="1">
      <alignment horizontal="center" vertical="top"/>
      <protection locked="0"/>
    </xf>
    <xf numFmtId="177" fontId="42" fillId="0" borderId="22" xfId="4" applyNumberFormat="1" applyFont="1" applyFill="1" applyBorder="1" applyAlignment="1" applyProtection="1">
      <alignment horizontal="center" vertical="top"/>
      <protection locked="0"/>
    </xf>
    <xf numFmtId="1" fontId="42" fillId="0" borderId="22" xfId="4" applyNumberFormat="1" applyFont="1" applyFill="1" applyBorder="1" applyAlignment="1" applyProtection="1">
      <alignment horizontal="center" vertical="top"/>
      <protection locked="0"/>
    </xf>
    <xf numFmtId="179" fontId="42" fillId="0" borderId="22" xfId="4" applyNumberFormat="1" applyFont="1" applyFill="1" applyBorder="1" applyAlignment="1" applyProtection="1">
      <alignment horizontal="center" vertical="top"/>
      <protection locked="0"/>
    </xf>
    <xf numFmtId="14" fontId="42" fillId="0" borderId="22" xfId="4" applyNumberFormat="1" applyFont="1" applyFill="1" applyBorder="1" applyAlignment="1" applyProtection="1">
      <alignment horizontal="left" vertical="top"/>
      <protection locked="0"/>
    </xf>
    <xf numFmtId="10" fontId="42" fillId="0" borderId="22" xfId="3" applyNumberFormat="1" applyFont="1" applyFill="1" applyBorder="1" applyAlignment="1" applyProtection="1">
      <alignment horizontal="right" vertical="top" wrapText="1"/>
      <protection locked="0"/>
    </xf>
    <xf numFmtId="10" fontId="42" fillId="0" borderId="22" xfId="3" applyNumberFormat="1" applyFont="1" applyFill="1" applyBorder="1" applyAlignment="1" applyProtection="1">
      <alignment horizontal="right" vertical="top"/>
      <protection locked="0"/>
    </xf>
    <xf numFmtId="0" fontId="42" fillId="0" borderId="10" xfId="4" applyFont="1" applyFill="1" applyBorder="1" applyAlignment="1" applyProtection="1">
      <alignment vertical="top"/>
      <protection locked="0"/>
    </xf>
    <xf numFmtId="0" fontId="42" fillId="0" borderId="10" xfId="4" applyFont="1" applyFill="1" applyBorder="1" applyAlignment="1" applyProtection="1">
      <alignment horizontal="right" vertical="top"/>
      <protection locked="0"/>
    </xf>
    <xf numFmtId="0" fontId="42" fillId="0" borderId="10" xfId="4" applyFont="1" applyFill="1" applyBorder="1" applyAlignment="1" applyProtection="1">
      <alignment horizontal="left" vertical="top"/>
      <protection locked="0"/>
    </xf>
    <xf numFmtId="14" fontId="42" fillId="0" borderId="10" xfId="4" applyNumberFormat="1" applyFont="1" applyFill="1" applyBorder="1" applyAlignment="1" applyProtection="1">
      <alignment horizontal="center" vertical="top"/>
      <protection locked="0"/>
    </xf>
    <xf numFmtId="0" fontId="42" fillId="0" borderId="10" xfId="4" applyNumberFormat="1" applyFont="1" applyFill="1" applyBorder="1" applyAlignment="1" applyProtection="1">
      <alignment horizontal="left" vertical="top"/>
      <protection locked="0"/>
    </xf>
    <xf numFmtId="176" fontId="42" fillId="0" borderId="10" xfId="4" applyNumberFormat="1" applyFont="1" applyFill="1" applyBorder="1" applyAlignment="1" applyProtection="1">
      <alignment horizontal="center" vertical="top"/>
      <protection locked="0"/>
    </xf>
    <xf numFmtId="0" fontId="42" fillId="0" borderId="10" xfId="4" applyNumberFormat="1" applyFont="1" applyFill="1" applyBorder="1" applyAlignment="1" applyProtection="1">
      <alignment horizontal="center" vertical="top"/>
      <protection locked="0"/>
    </xf>
    <xf numFmtId="177" fontId="42" fillId="0" borderId="10" xfId="4" applyNumberFormat="1" applyFont="1" applyFill="1" applyBorder="1" applyAlignment="1" applyProtection="1">
      <alignment horizontal="center" vertical="top"/>
      <protection locked="0"/>
    </xf>
    <xf numFmtId="1" fontId="42" fillId="0" borderId="10" xfId="4" applyNumberFormat="1" applyFont="1" applyFill="1" applyBorder="1" applyAlignment="1" applyProtection="1">
      <alignment horizontal="center" vertical="top"/>
      <protection locked="0"/>
    </xf>
    <xf numFmtId="179" fontId="42" fillId="0" borderId="10" xfId="4" applyNumberFormat="1" applyFont="1" applyFill="1" applyBorder="1" applyAlignment="1" applyProtection="1">
      <alignment horizontal="center" vertical="top"/>
      <protection locked="0"/>
    </xf>
    <xf numFmtId="14" fontId="42" fillId="0" borderId="10" xfId="4" applyNumberFormat="1" applyFont="1" applyFill="1" applyBorder="1" applyAlignment="1" applyProtection="1">
      <alignment horizontal="left" vertical="top"/>
      <protection locked="0"/>
    </xf>
    <xf numFmtId="10" fontId="42" fillId="0" borderId="10" xfId="3" applyNumberFormat="1" applyFont="1" applyFill="1" applyBorder="1" applyAlignment="1" applyProtection="1">
      <alignment horizontal="right" vertical="top" wrapText="1"/>
      <protection locked="0"/>
    </xf>
    <xf numFmtId="10" fontId="42" fillId="0" borderId="10" xfId="3" applyNumberFormat="1" applyFont="1" applyFill="1" applyBorder="1" applyAlignment="1" applyProtection="1">
      <alignment horizontal="right" vertical="top"/>
      <protection locked="0"/>
    </xf>
    <xf numFmtId="0" fontId="42" fillId="0" borderId="1" xfId="4" applyFont="1" applyFill="1" applyBorder="1" applyAlignment="1" applyProtection="1">
      <alignment horizontal="left" vertical="center"/>
    </xf>
    <xf numFmtId="0" fontId="47" fillId="0" borderId="7" xfId="4" applyFont="1" applyFill="1" applyBorder="1" applyAlignment="1" applyProtection="1">
      <alignment horizontal="left" vertical="top"/>
      <protection locked="0"/>
    </xf>
    <xf numFmtId="0" fontId="42" fillId="0" borderId="7" xfId="4" applyFont="1" applyFill="1" applyBorder="1" applyAlignment="1" applyProtection="1">
      <alignment horizontal="left" vertical="center"/>
      <protection locked="0"/>
    </xf>
    <xf numFmtId="0" fontId="47" fillId="0" borderId="7" xfId="4" applyFont="1" applyFill="1" applyBorder="1" applyAlignment="1" applyProtection="1">
      <alignment horizontal="left" vertical="center"/>
      <protection locked="0"/>
    </xf>
    <xf numFmtId="0" fontId="42" fillId="0" borderId="7" xfId="4" applyFont="1" applyFill="1" applyBorder="1" applyAlignment="1" applyProtection="1">
      <alignment horizontal="center" vertical="center"/>
      <protection locked="0"/>
    </xf>
    <xf numFmtId="10" fontId="42" fillId="0" borderId="7" xfId="6" applyNumberFormat="1" applyFont="1" applyFill="1" applyBorder="1" applyAlignment="1" applyProtection="1">
      <alignment horizontal="right" vertical="center"/>
      <protection locked="0"/>
    </xf>
    <xf numFmtId="0" fontId="46" fillId="0" borderId="7" xfId="4" applyNumberFormat="1" applyFont="1" applyFill="1" applyBorder="1" applyAlignment="1" applyProtection="1">
      <alignment horizontal="left" vertical="top"/>
      <protection locked="0"/>
    </xf>
    <xf numFmtId="14" fontId="50" fillId="0" borderId="7" xfId="0" applyNumberFormat="1" applyFont="1" applyBorder="1" applyAlignment="1">
      <alignment horizontal="center"/>
    </xf>
    <xf numFmtId="0" fontId="48"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center"/>
      <protection locked="0"/>
    </xf>
    <xf numFmtId="0" fontId="49" fillId="0" borderId="7" xfId="0" applyFont="1" applyBorder="1" applyAlignment="1">
      <alignment horizontal="left"/>
    </xf>
    <xf numFmtId="0" fontId="51" fillId="0" borderId="7" xfId="0" applyFont="1" applyBorder="1" applyAlignment="1">
      <alignment horizontal="left"/>
    </xf>
    <xf numFmtId="0" fontId="52" fillId="0" borderId="7" xfId="4" applyFont="1" applyFill="1" applyBorder="1" applyAlignment="1" applyProtection="1">
      <alignment vertical="top"/>
      <protection locked="0"/>
    </xf>
    <xf numFmtId="0" fontId="52" fillId="0" borderId="7" xfId="4" quotePrefix="1" applyFont="1" applyFill="1" applyBorder="1" applyAlignment="1" applyProtection="1">
      <alignment horizontal="right" vertical="top"/>
      <protection locked="0"/>
    </xf>
    <xf numFmtId="0" fontId="52" fillId="0" borderId="7" xfId="4" applyFont="1" applyFill="1" applyBorder="1" applyAlignment="1" applyProtection="1">
      <alignment horizontal="left" vertical="top"/>
      <protection locked="0"/>
    </xf>
    <xf numFmtId="0" fontId="53" fillId="0" borderId="7" xfId="4" applyFont="1" applyFill="1" applyBorder="1" applyAlignment="1" applyProtection="1">
      <alignment horizontal="left" vertical="top"/>
      <protection locked="0"/>
    </xf>
    <xf numFmtId="14" fontId="52" fillId="0" borderId="7" xfId="4" applyNumberFormat="1" applyFont="1" applyFill="1" applyBorder="1" applyAlignment="1" applyProtection="1">
      <alignment horizontal="center" vertical="top"/>
      <protection locked="0"/>
    </xf>
    <xf numFmtId="0" fontId="52" fillId="0" borderId="7" xfId="4" applyNumberFormat="1" applyFont="1" applyFill="1" applyBorder="1" applyAlignment="1" applyProtection="1">
      <alignment horizontal="left" vertical="top"/>
      <protection locked="0"/>
    </xf>
    <xf numFmtId="176" fontId="52" fillId="0" borderId="7" xfId="4" applyNumberFormat="1" applyFont="1" applyFill="1" applyBorder="1" applyAlignment="1" applyProtection="1">
      <alignment horizontal="center" vertical="top"/>
      <protection locked="0"/>
    </xf>
    <xf numFmtId="0" fontId="52" fillId="0" borderId="7" xfId="4" applyNumberFormat="1" applyFont="1" applyFill="1" applyBorder="1" applyAlignment="1" applyProtection="1">
      <alignment horizontal="center" vertical="top"/>
      <protection locked="0"/>
    </xf>
    <xf numFmtId="177" fontId="52" fillId="0" borderId="7" xfId="4" applyNumberFormat="1" applyFont="1" applyFill="1" applyBorder="1" applyAlignment="1" applyProtection="1">
      <alignment horizontal="center" vertical="top"/>
      <protection locked="0"/>
    </xf>
    <xf numFmtId="1" fontId="52" fillId="0" borderId="7" xfId="4" applyNumberFormat="1" applyFont="1" applyFill="1" applyBorder="1" applyAlignment="1" applyProtection="1">
      <alignment horizontal="center" vertical="top"/>
      <protection locked="0"/>
    </xf>
    <xf numFmtId="179" fontId="52" fillId="0" borderId="7" xfId="4" applyNumberFormat="1" applyFont="1" applyFill="1" applyBorder="1" applyAlignment="1" applyProtection="1">
      <alignment horizontal="center" vertical="top"/>
      <protection locked="0"/>
    </xf>
    <xf numFmtId="0" fontId="54" fillId="0" borderId="7" xfId="4" applyNumberFormat="1" applyFont="1" applyFill="1" applyBorder="1" applyAlignment="1" applyProtection="1">
      <alignment horizontal="left" vertical="top"/>
      <protection locked="0"/>
    </xf>
    <xf numFmtId="14" fontId="52" fillId="0" borderId="7" xfId="4" applyNumberFormat="1" applyFont="1" applyFill="1" applyBorder="1" applyAlignment="1" applyProtection="1">
      <alignment horizontal="left" vertical="top"/>
      <protection locked="0"/>
    </xf>
    <xf numFmtId="10" fontId="52" fillId="0" borderId="7" xfId="6" applyNumberFormat="1" applyFont="1" applyFill="1" applyBorder="1" applyAlignment="1" applyProtection="1">
      <alignment horizontal="right" vertical="top" wrapText="1"/>
      <protection locked="0"/>
    </xf>
    <xf numFmtId="10" fontId="52" fillId="0" borderId="7" xfId="6" applyNumberFormat="1" applyFont="1" applyFill="1" applyBorder="1" applyAlignment="1" applyProtection="1">
      <alignment horizontal="right" vertical="top"/>
      <protection locked="0"/>
    </xf>
    <xf numFmtId="0" fontId="52" fillId="0" borderId="9" xfId="4" applyFont="1" applyFill="1" applyBorder="1" applyAlignment="1" applyProtection="1">
      <alignment horizontal="left" vertical="center"/>
      <protection locked="0"/>
    </xf>
    <xf numFmtId="0" fontId="55" fillId="0" borderId="7" xfId="4" applyNumberFormat="1" applyFont="1" applyFill="1" applyBorder="1" applyAlignment="1" applyProtection="1">
      <alignment horizontal="left" vertical="top"/>
      <protection locked="0"/>
    </xf>
    <xf numFmtId="0" fontId="55" fillId="0" borderId="7" xfId="4" applyFont="1" applyFill="1" applyBorder="1" applyAlignment="1" applyProtection="1">
      <alignment horizontal="left" vertical="top"/>
      <protection locked="0"/>
    </xf>
    <xf numFmtId="14" fontId="56" fillId="0" borderId="7" xfId="0" applyNumberFormat="1" applyFont="1" applyBorder="1" applyAlignment="1">
      <alignment horizontal="center"/>
    </xf>
    <xf numFmtId="178" fontId="41" fillId="5" borderId="5" xfId="1" applyNumberFormat="1" applyFont="1" applyFill="1" applyBorder="1" applyAlignment="1">
      <alignment horizontal="left" vertical="center"/>
    </xf>
    <xf numFmtId="178" fontId="41" fillId="5" borderId="6" xfId="1" applyNumberFormat="1" applyFont="1" applyFill="1" applyBorder="1" applyAlignment="1">
      <alignment horizontal="left" vertical="center"/>
    </xf>
    <xf numFmtId="0" fontId="5" fillId="11" borderId="0" xfId="2" applyFont="1" applyFill="1" applyBorder="1" applyAlignment="1">
      <alignment horizontal="left" vertical="center"/>
    </xf>
    <xf numFmtId="0" fontId="41" fillId="10" borderId="1" xfId="4" applyFont="1" applyFill="1" applyBorder="1" applyAlignment="1" applyProtection="1">
      <alignment horizontal="center" vertical="center" wrapText="1"/>
    </xf>
    <xf numFmtId="0" fontId="41" fillId="10" borderId="0" xfId="4" applyFont="1" applyFill="1" applyBorder="1" applyAlignment="1" applyProtection="1">
      <alignment horizontal="center" vertical="center" wrapText="1"/>
    </xf>
    <xf numFmtId="0" fontId="41" fillId="10" borderId="2" xfId="4" applyFont="1" applyFill="1" applyBorder="1" applyAlignment="1" applyProtection="1">
      <alignment horizontal="center" vertical="center"/>
    </xf>
    <xf numFmtId="0" fontId="41" fillId="10" borderId="24" xfId="4" applyFont="1" applyFill="1" applyBorder="1" applyAlignment="1" applyProtection="1">
      <alignment horizontal="center" vertical="center"/>
    </xf>
    <xf numFmtId="0" fontId="41" fillId="10" borderId="2" xfId="4" applyFont="1" applyFill="1" applyBorder="1" applyAlignment="1" applyProtection="1">
      <alignment horizontal="center" vertical="center" wrapText="1"/>
    </xf>
    <xf numFmtId="14" fontId="40" fillId="11" borderId="0" xfId="3" applyNumberFormat="1" applyFont="1" applyFill="1" applyBorder="1" applyAlignment="1">
      <alignment horizontal="center" vertical="center" wrapText="1"/>
    </xf>
    <xf numFmtId="14" fontId="41" fillId="10" borderId="2" xfId="4" applyNumberFormat="1" applyFont="1" applyFill="1" applyBorder="1" applyAlignment="1" applyProtection="1">
      <alignment horizontal="center" vertical="center"/>
    </xf>
    <xf numFmtId="0" fontId="41" fillId="10" borderId="2" xfId="4" applyNumberFormat="1" applyFont="1" applyFill="1" applyBorder="1" applyAlignment="1" applyProtection="1">
      <alignment horizontal="center" vertical="center"/>
    </xf>
    <xf numFmtId="176" fontId="41" fillId="5" borderId="2" xfId="4" applyNumberFormat="1" applyFont="1" applyFill="1" applyBorder="1" applyAlignment="1" applyProtection="1">
      <alignment horizontal="center" vertical="center" wrapText="1"/>
    </xf>
    <xf numFmtId="0" fontId="41" fillId="5" borderId="2" xfId="4" applyFont="1" applyFill="1" applyBorder="1" applyAlignment="1" applyProtection="1">
      <alignment horizontal="center" vertical="center"/>
    </xf>
    <xf numFmtId="178" fontId="41" fillId="5" borderId="4" xfId="1" applyNumberFormat="1" applyFont="1" applyFill="1" applyBorder="1" applyAlignment="1">
      <alignment horizontal="left" vertical="center"/>
    </xf>
    <xf numFmtId="0" fontId="41" fillId="10" borderId="3" xfId="4" applyFont="1" applyFill="1" applyBorder="1" applyAlignment="1" applyProtection="1">
      <alignment horizontal="center" vertical="center"/>
    </xf>
    <xf numFmtId="10" fontId="41" fillId="10" borderId="3" xfId="3" applyNumberFormat="1" applyFont="1" applyFill="1" applyBorder="1" applyAlignment="1" applyProtection="1">
      <alignment horizontal="center" vertical="center" wrapText="1"/>
    </xf>
    <xf numFmtId="14" fontId="41" fillId="10" borderId="2" xfId="4" applyNumberFormat="1" applyFont="1" applyFill="1" applyBorder="1" applyAlignment="1" applyProtection="1">
      <alignment horizontal="center" vertical="center" wrapText="1"/>
    </xf>
    <xf numFmtId="177" fontId="41" fillId="5" borderId="2" xfId="4" applyNumberFormat="1" applyFont="1" applyFill="1" applyBorder="1" applyAlignment="1" applyProtection="1">
      <alignment horizontal="center" vertical="center" wrapText="1"/>
    </xf>
    <xf numFmtId="1" fontId="41" fillId="5" borderId="2" xfId="4" applyNumberFormat="1" applyFont="1" applyFill="1" applyBorder="1" applyAlignment="1" applyProtection="1">
      <alignment horizontal="center" vertical="center" wrapText="1"/>
    </xf>
    <xf numFmtId="176" fontId="41" fillId="10" borderId="2" xfId="4" applyNumberFormat="1" applyFont="1" applyFill="1" applyBorder="1" applyAlignment="1" applyProtection="1">
      <alignment horizontal="center" vertical="center"/>
    </xf>
    <xf numFmtId="10" fontId="41"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8"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56</xdr:col>
      <xdr:colOff>0</xdr:colOff>
      <xdr:row>3</xdr:row>
      <xdr:rowOff>55880</xdr:rowOff>
    </xdr:from>
    <xdr:to>
      <xdr:col>56</xdr:col>
      <xdr:colOff>0</xdr:colOff>
      <xdr:row>49</xdr:row>
      <xdr:rowOff>0</xdr:rowOff>
    </xdr:to>
    <xdr:cxnSp macro="">
      <xdr:nvCxnSpPr>
        <xdr:cNvPr id="2" name="직선 화살표 연결선 1">
          <a:extLst>
            <a:ext uri="{FF2B5EF4-FFF2-40B4-BE49-F238E27FC236}">
              <a16:creationId xmlns:a16="http://schemas.microsoft.com/office/drawing/2014/main" id="{0D7BCD1A-8A3C-4D73-B79F-8F7430CF2D99}"/>
            </a:ext>
          </a:extLst>
        </xdr:cNvPr>
        <xdr:cNvCxnSpPr/>
      </xdr:nvCxnSpPr>
      <xdr:spPr>
        <a:xfrm>
          <a:off x="32442150" y="741680"/>
          <a:ext cx="0" cy="9211945"/>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48</xdr:row>
      <xdr:rowOff>42863</xdr:rowOff>
    </xdr:from>
    <xdr:to>
      <xdr:col>55</xdr:col>
      <xdr:colOff>0</xdr:colOff>
      <xdr:row>48</xdr:row>
      <xdr:rowOff>157163</xdr:rowOff>
    </xdr:to>
    <xdr:sp macro="" textlink="">
      <xdr:nvSpPr>
        <xdr:cNvPr id="3" name="직사각형 2">
          <a:extLst>
            <a:ext uri="{FF2B5EF4-FFF2-40B4-BE49-F238E27FC236}">
              <a16:creationId xmlns:a16="http://schemas.microsoft.com/office/drawing/2014/main" id="{06B98C9B-D750-4CDF-9012-4AB27175E226}"/>
            </a:ext>
          </a:extLst>
        </xdr:cNvPr>
        <xdr:cNvSpPr/>
      </xdr:nvSpPr>
      <xdr:spPr>
        <a:xfrm>
          <a:off x="13849350" y="9796463"/>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48</xdr:row>
      <xdr:rowOff>100013</xdr:rowOff>
    </xdr:from>
    <xdr:to>
      <xdr:col>55</xdr:col>
      <xdr:colOff>0</xdr:colOff>
      <xdr:row>48</xdr:row>
      <xdr:rowOff>100013</xdr:rowOff>
    </xdr:to>
    <xdr:cxnSp macro="">
      <xdr:nvCxnSpPr>
        <xdr:cNvPr id="4" name="직선 화살표 연결선 3">
          <a:extLst>
            <a:ext uri="{FF2B5EF4-FFF2-40B4-BE49-F238E27FC236}">
              <a16:creationId xmlns:a16="http://schemas.microsoft.com/office/drawing/2014/main" id="{02790D20-9589-4EED-8081-F8CC2B7BAE4D}"/>
            </a:ext>
          </a:extLst>
        </xdr:cNvPr>
        <xdr:cNvCxnSpPr/>
      </xdr:nvCxnSpPr>
      <xdr:spPr>
        <a:xfrm>
          <a:off x="13849350" y="9853613"/>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47</xdr:row>
      <xdr:rowOff>42863</xdr:rowOff>
    </xdr:from>
    <xdr:to>
      <xdr:col>53</xdr:col>
      <xdr:colOff>0</xdr:colOff>
      <xdr:row>47</xdr:row>
      <xdr:rowOff>157163</xdr:rowOff>
    </xdr:to>
    <xdr:sp macro="" textlink="">
      <xdr:nvSpPr>
        <xdr:cNvPr id="5" name="직사각형 4">
          <a:extLst>
            <a:ext uri="{FF2B5EF4-FFF2-40B4-BE49-F238E27FC236}">
              <a16:creationId xmlns:a16="http://schemas.microsoft.com/office/drawing/2014/main" id="{934E9AAC-F760-4308-9323-6833984E215E}"/>
            </a:ext>
          </a:extLst>
        </xdr:cNvPr>
        <xdr:cNvSpPr/>
      </xdr:nvSpPr>
      <xdr:spPr>
        <a:xfrm>
          <a:off x="13620750" y="9596438"/>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0</xdr:colOff>
      <xdr:row>47</xdr:row>
      <xdr:rowOff>100013</xdr:rowOff>
    </xdr:from>
    <xdr:to>
      <xdr:col>53</xdr:col>
      <xdr:colOff>0</xdr:colOff>
      <xdr:row>47</xdr:row>
      <xdr:rowOff>100013</xdr:rowOff>
    </xdr:to>
    <xdr:cxnSp macro="">
      <xdr:nvCxnSpPr>
        <xdr:cNvPr id="6" name="직선 화살표 연결선 5">
          <a:extLst>
            <a:ext uri="{FF2B5EF4-FFF2-40B4-BE49-F238E27FC236}">
              <a16:creationId xmlns:a16="http://schemas.microsoft.com/office/drawing/2014/main" id="{5EA128F3-B003-47D4-AFC0-24EED74CD3C0}"/>
            </a:ext>
          </a:extLst>
        </xdr:cNvPr>
        <xdr:cNvCxnSpPr/>
      </xdr:nvCxnSpPr>
      <xdr:spPr>
        <a:xfrm>
          <a:off x="13620750" y="9653588"/>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46</xdr:row>
      <xdr:rowOff>52388</xdr:rowOff>
    </xdr:from>
    <xdr:to>
      <xdr:col>50</xdr:col>
      <xdr:colOff>0</xdr:colOff>
      <xdr:row>46</xdr:row>
      <xdr:rowOff>166688</xdr:rowOff>
    </xdr:to>
    <xdr:sp macro="" textlink="">
      <xdr:nvSpPr>
        <xdr:cNvPr id="7" name="직사각형 6">
          <a:extLst>
            <a:ext uri="{FF2B5EF4-FFF2-40B4-BE49-F238E27FC236}">
              <a16:creationId xmlns:a16="http://schemas.microsoft.com/office/drawing/2014/main" id="{39768489-0F71-4839-AAA2-F379E4DE443C}"/>
            </a:ext>
          </a:extLst>
        </xdr:cNvPr>
        <xdr:cNvSpPr/>
      </xdr:nvSpPr>
      <xdr:spPr>
        <a:xfrm>
          <a:off x="13277850" y="9386888"/>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46</xdr:row>
      <xdr:rowOff>109538</xdr:rowOff>
    </xdr:from>
    <xdr:to>
      <xdr:col>50</xdr:col>
      <xdr:colOff>0</xdr:colOff>
      <xdr:row>46</xdr:row>
      <xdr:rowOff>109538</xdr:rowOff>
    </xdr:to>
    <xdr:cxnSp macro="">
      <xdr:nvCxnSpPr>
        <xdr:cNvPr id="8" name="직선 화살표 연결선 7">
          <a:extLst>
            <a:ext uri="{FF2B5EF4-FFF2-40B4-BE49-F238E27FC236}">
              <a16:creationId xmlns:a16="http://schemas.microsoft.com/office/drawing/2014/main" id="{4F1E761B-C060-4C22-95EB-297AEC91B598}"/>
            </a:ext>
          </a:extLst>
        </xdr:cNvPr>
        <xdr:cNvCxnSpPr/>
      </xdr:nvCxnSpPr>
      <xdr:spPr>
        <a:xfrm>
          <a:off x="13277850" y="9444038"/>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45</xdr:row>
      <xdr:rowOff>52388</xdr:rowOff>
    </xdr:from>
    <xdr:to>
      <xdr:col>53</xdr:col>
      <xdr:colOff>0</xdr:colOff>
      <xdr:row>45</xdr:row>
      <xdr:rowOff>166688</xdr:rowOff>
    </xdr:to>
    <xdr:sp macro="" textlink="">
      <xdr:nvSpPr>
        <xdr:cNvPr id="9" name="직사각형 8">
          <a:extLst>
            <a:ext uri="{FF2B5EF4-FFF2-40B4-BE49-F238E27FC236}">
              <a16:creationId xmlns:a16="http://schemas.microsoft.com/office/drawing/2014/main" id="{48C49CAB-49CD-4AFC-8089-CB31BBA4DA59}"/>
            </a:ext>
          </a:extLst>
        </xdr:cNvPr>
        <xdr:cNvSpPr/>
      </xdr:nvSpPr>
      <xdr:spPr>
        <a:xfrm>
          <a:off x="13277850" y="9167813"/>
          <a:ext cx="6858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45</xdr:row>
      <xdr:rowOff>109538</xdr:rowOff>
    </xdr:from>
    <xdr:to>
      <xdr:col>53</xdr:col>
      <xdr:colOff>0</xdr:colOff>
      <xdr:row>45</xdr:row>
      <xdr:rowOff>109538</xdr:rowOff>
    </xdr:to>
    <xdr:cxnSp macro="">
      <xdr:nvCxnSpPr>
        <xdr:cNvPr id="10" name="직선 화살표 연결선 9">
          <a:extLst>
            <a:ext uri="{FF2B5EF4-FFF2-40B4-BE49-F238E27FC236}">
              <a16:creationId xmlns:a16="http://schemas.microsoft.com/office/drawing/2014/main" id="{49A5CF5B-8798-4371-9FC1-2CC00B38847D}"/>
            </a:ext>
          </a:extLst>
        </xdr:cNvPr>
        <xdr:cNvCxnSpPr/>
      </xdr:nvCxnSpPr>
      <xdr:spPr>
        <a:xfrm>
          <a:off x="13277850" y="9224963"/>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44</xdr:row>
      <xdr:rowOff>42863</xdr:rowOff>
    </xdr:from>
    <xdr:to>
      <xdr:col>47</xdr:col>
      <xdr:colOff>0</xdr:colOff>
      <xdr:row>44</xdr:row>
      <xdr:rowOff>157163</xdr:rowOff>
    </xdr:to>
    <xdr:sp macro="" textlink="">
      <xdr:nvSpPr>
        <xdr:cNvPr id="11" name="직사각형 10">
          <a:extLst>
            <a:ext uri="{FF2B5EF4-FFF2-40B4-BE49-F238E27FC236}">
              <a16:creationId xmlns:a16="http://schemas.microsoft.com/office/drawing/2014/main" id="{BC165BDE-2752-44CD-9E63-079D8BAD1E60}"/>
            </a:ext>
          </a:extLst>
        </xdr:cNvPr>
        <xdr:cNvSpPr/>
      </xdr:nvSpPr>
      <xdr:spPr>
        <a:xfrm>
          <a:off x="12934950" y="8958263"/>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0</xdr:colOff>
      <xdr:row>44</xdr:row>
      <xdr:rowOff>100013</xdr:rowOff>
    </xdr:from>
    <xdr:to>
      <xdr:col>47</xdr:col>
      <xdr:colOff>0</xdr:colOff>
      <xdr:row>44</xdr:row>
      <xdr:rowOff>100013</xdr:rowOff>
    </xdr:to>
    <xdr:cxnSp macro="">
      <xdr:nvCxnSpPr>
        <xdr:cNvPr id="12" name="직선 화살표 연결선 11">
          <a:extLst>
            <a:ext uri="{FF2B5EF4-FFF2-40B4-BE49-F238E27FC236}">
              <a16:creationId xmlns:a16="http://schemas.microsoft.com/office/drawing/2014/main" id="{1BE88CAB-6FC1-4D4A-ABC5-60835FB6A7F7}"/>
            </a:ext>
          </a:extLst>
        </xdr:cNvPr>
        <xdr:cNvCxnSpPr/>
      </xdr:nvCxnSpPr>
      <xdr:spPr>
        <a:xfrm>
          <a:off x="12934950" y="9015413"/>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43</xdr:row>
      <xdr:rowOff>42863</xdr:rowOff>
    </xdr:from>
    <xdr:to>
      <xdr:col>44</xdr:col>
      <xdr:colOff>0</xdr:colOff>
      <xdr:row>43</xdr:row>
      <xdr:rowOff>157163</xdr:rowOff>
    </xdr:to>
    <xdr:sp macro="" textlink="">
      <xdr:nvSpPr>
        <xdr:cNvPr id="13" name="직사각형 12">
          <a:extLst>
            <a:ext uri="{FF2B5EF4-FFF2-40B4-BE49-F238E27FC236}">
              <a16:creationId xmlns:a16="http://schemas.microsoft.com/office/drawing/2014/main" id="{07688F16-B6D1-4852-879E-403FE18B4ECE}"/>
            </a:ext>
          </a:extLst>
        </xdr:cNvPr>
        <xdr:cNvSpPr/>
      </xdr:nvSpPr>
      <xdr:spPr>
        <a:xfrm>
          <a:off x="12134850" y="8758238"/>
          <a:ext cx="8001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43</xdr:row>
      <xdr:rowOff>100013</xdr:rowOff>
    </xdr:from>
    <xdr:to>
      <xdr:col>44</xdr:col>
      <xdr:colOff>0</xdr:colOff>
      <xdr:row>43</xdr:row>
      <xdr:rowOff>100013</xdr:rowOff>
    </xdr:to>
    <xdr:cxnSp macro="">
      <xdr:nvCxnSpPr>
        <xdr:cNvPr id="14" name="직선 화살표 연결선 13">
          <a:extLst>
            <a:ext uri="{FF2B5EF4-FFF2-40B4-BE49-F238E27FC236}">
              <a16:creationId xmlns:a16="http://schemas.microsoft.com/office/drawing/2014/main" id="{21DE4645-CF73-49A5-90FA-FB83D38AB4D0}"/>
            </a:ext>
          </a:extLst>
        </xdr:cNvPr>
        <xdr:cNvCxnSpPr/>
      </xdr:nvCxnSpPr>
      <xdr:spPr>
        <a:xfrm>
          <a:off x="12134850" y="8815388"/>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42</xdr:row>
      <xdr:rowOff>42863</xdr:rowOff>
    </xdr:from>
    <xdr:to>
      <xdr:col>44</xdr:col>
      <xdr:colOff>0</xdr:colOff>
      <xdr:row>42</xdr:row>
      <xdr:rowOff>157163</xdr:rowOff>
    </xdr:to>
    <xdr:sp macro="" textlink="">
      <xdr:nvSpPr>
        <xdr:cNvPr id="15" name="직사각형 14">
          <a:extLst>
            <a:ext uri="{FF2B5EF4-FFF2-40B4-BE49-F238E27FC236}">
              <a16:creationId xmlns:a16="http://schemas.microsoft.com/office/drawing/2014/main" id="{701100ED-926C-4958-A6C6-E4588614613F}"/>
            </a:ext>
          </a:extLst>
        </xdr:cNvPr>
        <xdr:cNvSpPr/>
      </xdr:nvSpPr>
      <xdr:spPr>
        <a:xfrm>
          <a:off x="12134850" y="8558213"/>
          <a:ext cx="8001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42</xdr:row>
      <xdr:rowOff>100013</xdr:rowOff>
    </xdr:from>
    <xdr:to>
      <xdr:col>44</xdr:col>
      <xdr:colOff>0</xdr:colOff>
      <xdr:row>42</xdr:row>
      <xdr:rowOff>100013</xdr:rowOff>
    </xdr:to>
    <xdr:cxnSp macro="">
      <xdr:nvCxnSpPr>
        <xdr:cNvPr id="16" name="직선 화살표 연결선 15">
          <a:extLst>
            <a:ext uri="{FF2B5EF4-FFF2-40B4-BE49-F238E27FC236}">
              <a16:creationId xmlns:a16="http://schemas.microsoft.com/office/drawing/2014/main" id="{A699728F-AAE3-4241-8CE8-B972E4D4FD45}"/>
            </a:ext>
          </a:extLst>
        </xdr:cNvPr>
        <xdr:cNvCxnSpPr/>
      </xdr:nvCxnSpPr>
      <xdr:spPr>
        <a:xfrm>
          <a:off x="12134850" y="8615363"/>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41</xdr:row>
      <xdr:rowOff>42863</xdr:rowOff>
    </xdr:from>
    <xdr:to>
      <xdr:col>44</xdr:col>
      <xdr:colOff>0</xdr:colOff>
      <xdr:row>41</xdr:row>
      <xdr:rowOff>157163</xdr:rowOff>
    </xdr:to>
    <xdr:sp macro="" textlink="">
      <xdr:nvSpPr>
        <xdr:cNvPr id="17" name="직사각형 16">
          <a:extLst>
            <a:ext uri="{FF2B5EF4-FFF2-40B4-BE49-F238E27FC236}">
              <a16:creationId xmlns:a16="http://schemas.microsoft.com/office/drawing/2014/main" id="{4C02CDBA-97DC-4C5C-95DE-1DC661A03576}"/>
            </a:ext>
          </a:extLst>
        </xdr:cNvPr>
        <xdr:cNvSpPr/>
      </xdr:nvSpPr>
      <xdr:spPr>
        <a:xfrm>
          <a:off x="12134850" y="8358188"/>
          <a:ext cx="8001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41</xdr:row>
      <xdr:rowOff>100013</xdr:rowOff>
    </xdr:from>
    <xdr:to>
      <xdr:col>44</xdr:col>
      <xdr:colOff>0</xdr:colOff>
      <xdr:row>41</xdr:row>
      <xdr:rowOff>100013</xdr:rowOff>
    </xdr:to>
    <xdr:cxnSp macro="">
      <xdr:nvCxnSpPr>
        <xdr:cNvPr id="18" name="직선 화살표 연결선 17">
          <a:extLst>
            <a:ext uri="{FF2B5EF4-FFF2-40B4-BE49-F238E27FC236}">
              <a16:creationId xmlns:a16="http://schemas.microsoft.com/office/drawing/2014/main" id="{936E167E-0C48-4417-B405-554103748CA1}"/>
            </a:ext>
          </a:extLst>
        </xdr:cNvPr>
        <xdr:cNvCxnSpPr/>
      </xdr:nvCxnSpPr>
      <xdr:spPr>
        <a:xfrm>
          <a:off x="12134850" y="8415338"/>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40</xdr:row>
      <xdr:rowOff>42863</xdr:rowOff>
    </xdr:from>
    <xdr:to>
      <xdr:col>40</xdr:col>
      <xdr:colOff>0</xdr:colOff>
      <xdr:row>40</xdr:row>
      <xdr:rowOff>157163</xdr:rowOff>
    </xdr:to>
    <xdr:sp macro="" textlink="">
      <xdr:nvSpPr>
        <xdr:cNvPr id="19" name="직사각형 18">
          <a:extLst>
            <a:ext uri="{FF2B5EF4-FFF2-40B4-BE49-F238E27FC236}">
              <a16:creationId xmlns:a16="http://schemas.microsoft.com/office/drawing/2014/main" id="{468C17B0-B72F-4E2E-B4D8-25E8A2AF8B06}"/>
            </a:ext>
          </a:extLst>
        </xdr:cNvPr>
        <xdr:cNvSpPr/>
      </xdr:nvSpPr>
      <xdr:spPr>
        <a:xfrm>
          <a:off x="12134850" y="8158163"/>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40</xdr:row>
      <xdr:rowOff>100013</xdr:rowOff>
    </xdr:from>
    <xdr:to>
      <xdr:col>40</xdr:col>
      <xdr:colOff>0</xdr:colOff>
      <xdr:row>40</xdr:row>
      <xdr:rowOff>100013</xdr:rowOff>
    </xdr:to>
    <xdr:cxnSp macro="">
      <xdr:nvCxnSpPr>
        <xdr:cNvPr id="20" name="직선 화살표 연결선 19">
          <a:extLst>
            <a:ext uri="{FF2B5EF4-FFF2-40B4-BE49-F238E27FC236}">
              <a16:creationId xmlns:a16="http://schemas.microsoft.com/office/drawing/2014/main" id="{CFA08D65-5CC0-4FC2-BEC3-E8E8333ECCCF}"/>
            </a:ext>
          </a:extLst>
        </xdr:cNvPr>
        <xdr:cNvCxnSpPr/>
      </xdr:nvCxnSpPr>
      <xdr:spPr>
        <a:xfrm>
          <a:off x="12134850" y="8215313"/>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39</xdr:row>
      <xdr:rowOff>42863</xdr:rowOff>
    </xdr:from>
    <xdr:to>
      <xdr:col>48</xdr:col>
      <xdr:colOff>0</xdr:colOff>
      <xdr:row>39</xdr:row>
      <xdr:rowOff>157163</xdr:rowOff>
    </xdr:to>
    <xdr:sp macro="" textlink="">
      <xdr:nvSpPr>
        <xdr:cNvPr id="21" name="직사각형 20">
          <a:extLst>
            <a:ext uri="{FF2B5EF4-FFF2-40B4-BE49-F238E27FC236}">
              <a16:creationId xmlns:a16="http://schemas.microsoft.com/office/drawing/2014/main" id="{AA1A6E7E-F5F2-4AAB-A41D-374DE3133AFE}"/>
            </a:ext>
          </a:extLst>
        </xdr:cNvPr>
        <xdr:cNvSpPr/>
      </xdr:nvSpPr>
      <xdr:spPr>
        <a:xfrm>
          <a:off x="12820650" y="7958138"/>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39</xdr:row>
      <xdr:rowOff>100013</xdr:rowOff>
    </xdr:from>
    <xdr:to>
      <xdr:col>48</xdr:col>
      <xdr:colOff>0</xdr:colOff>
      <xdr:row>39</xdr:row>
      <xdr:rowOff>100013</xdr:rowOff>
    </xdr:to>
    <xdr:cxnSp macro="">
      <xdr:nvCxnSpPr>
        <xdr:cNvPr id="22" name="직선 화살표 연결선 21">
          <a:extLst>
            <a:ext uri="{FF2B5EF4-FFF2-40B4-BE49-F238E27FC236}">
              <a16:creationId xmlns:a16="http://schemas.microsoft.com/office/drawing/2014/main" id="{2F1746BE-CBFE-442D-860E-2C381188B9AA}"/>
            </a:ext>
          </a:extLst>
        </xdr:cNvPr>
        <xdr:cNvCxnSpPr/>
      </xdr:nvCxnSpPr>
      <xdr:spPr>
        <a:xfrm>
          <a:off x="12820650" y="8015288"/>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38</xdr:row>
      <xdr:rowOff>52388</xdr:rowOff>
    </xdr:from>
    <xdr:to>
      <xdr:col>48</xdr:col>
      <xdr:colOff>0</xdr:colOff>
      <xdr:row>38</xdr:row>
      <xdr:rowOff>166688</xdr:rowOff>
    </xdr:to>
    <xdr:sp macro="" textlink="">
      <xdr:nvSpPr>
        <xdr:cNvPr id="23" name="직사각형 22">
          <a:extLst>
            <a:ext uri="{FF2B5EF4-FFF2-40B4-BE49-F238E27FC236}">
              <a16:creationId xmlns:a16="http://schemas.microsoft.com/office/drawing/2014/main" id="{B39732D7-8BF2-44DC-BD9A-362B3E4C5A9C}"/>
            </a:ext>
          </a:extLst>
        </xdr:cNvPr>
        <xdr:cNvSpPr/>
      </xdr:nvSpPr>
      <xdr:spPr>
        <a:xfrm>
          <a:off x="12134850" y="7748588"/>
          <a:ext cx="12573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38</xdr:row>
      <xdr:rowOff>109538</xdr:rowOff>
    </xdr:from>
    <xdr:to>
      <xdr:col>48</xdr:col>
      <xdr:colOff>0</xdr:colOff>
      <xdr:row>38</xdr:row>
      <xdr:rowOff>109538</xdr:rowOff>
    </xdr:to>
    <xdr:cxnSp macro="">
      <xdr:nvCxnSpPr>
        <xdr:cNvPr id="24" name="직선 화살표 연결선 23">
          <a:extLst>
            <a:ext uri="{FF2B5EF4-FFF2-40B4-BE49-F238E27FC236}">
              <a16:creationId xmlns:a16="http://schemas.microsoft.com/office/drawing/2014/main" id="{6285ADCF-AA0F-4F1E-BD1D-DE5BA7E86931}"/>
            </a:ext>
          </a:extLst>
        </xdr:cNvPr>
        <xdr:cNvCxnSpPr/>
      </xdr:nvCxnSpPr>
      <xdr:spPr>
        <a:xfrm>
          <a:off x="12134850" y="7805738"/>
          <a:ext cx="1257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37</xdr:row>
      <xdr:rowOff>42863</xdr:rowOff>
    </xdr:from>
    <xdr:to>
      <xdr:col>55</xdr:col>
      <xdr:colOff>0</xdr:colOff>
      <xdr:row>37</xdr:row>
      <xdr:rowOff>157163</xdr:rowOff>
    </xdr:to>
    <xdr:sp macro="" textlink="">
      <xdr:nvSpPr>
        <xdr:cNvPr id="25" name="직사각형 24">
          <a:extLst>
            <a:ext uri="{FF2B5EF4-FFF2-40B4-BE49-F238E27FC236}">
              <a16:creationId xmlns:a16="http://schemas.microsoft.com/office/drawing/2014/main" id="{D41E00A3-B3BA-42FD-B01C-93D71092A553}"/>
            </a:ext>
          </a:extLst>
        </xdr:cNvPr>
        <xdr:cNvSpPr/>
      </xdr:nvSpPr>
      <xdr:spPr>
        <a:xfrm>
          <a:off x="13392150" y="7539038"/>
          <a:ext cx="8001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37</xdr:row>
      <xdr:rowOff>100013</xdr:rowOff>
    </xdr:from>
    <xdr:to>
      <xdr:col>48</xdr:col>
      <xdr:colOff>0</xdr:colOff>
      <xdr:row>37</xdr:row>
      <xdr:rowOff>100013</xdr:rowOff>
    </xdr:to>
    <xdr:cxnSp macro="">
      <xdr:nvCxnSpPr>
        <xdr:cNvPr id="26" name="직선 화살표 연결선 25">
          <a:extLst>
            <a:ext uri="{FF2B5EF4-FFF2-40B4-BE49-F238E27FC236}">
              <a16:creationId xmlns:a16="http://schemas.microsoft.com/office/drawing/2014/main" id="{67B52FB4-99F1-4270-9372-BE95CA63E0C9}"/>
            </a:ext>
          </a:extLst>
        </xdr:cNvPr>
        <xdr:cNvCxnSpPr/>
      </xdr:nvCxnSpPr>
      <xdr:spPr>
        <a:xfrm>
          <a:off x="13392150" y="75961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36</xdr:row>
      <xdr:rowOff>42863</xdr:rowOff>
    </xdr:from>
    <xdr:to>
      <xdr:col>48</xdr:col>
      <xdr:colOff>0</xdr:colOff>
      <xdr:row>36</xdr:row>
      <xdr:rowOff>157163</xdr:rowOff>
    </xdr:to>
    <xdr:sp macro="" textlink="">
      <xdr:nvSpPr>
        <xdr:cNvPr id="27" name="직사각형 26">
          <a:extLst>
            <a:ext uri="{FF2B5EF4-FFF2-40B4-BE49-F238E27FC236}">
              <a16:creationId xmlns:a16="http://schemas.microsoft.com/office/drawing/2014/main" id="{FE2F66EF-FDDA-4838-87FD-AE7215DA15CE}"/>
            </a:ext>
          </a:extLst>
        </xdr:cNvPr>
        <xdr:cNvSpPr/>
      </xdr:nvSpPr>
      <xdr:spPr>
        <a:xfrm>
          <a:off x="12820650" y="7339013"/>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36</xdr:row>
      <xdr:rowOff>100013</xdr:rowOff>
    </xdr:from>
    <xdr:to>
      <xdr:col>48</xdr:col>
      <xdr:colOff>0</xdr:colOff>
      <xdr:row>36</xdr:row>
      <xdr:rowOff>100013</xdr:rowOff>
    </xdr:to>
    <xdr:cxnSp macro="">
      <xdr:nvCxnSpPr>
        <xdr:cNvPr id="28" name="직선 화살표 연결선 27">
          <a:extLst>
            <a:ext uri="{FF2B5EF4-FFF2-40B4-BE49-F238E27FC236}">
              <a16:creationId xmlns:a16="http://schemas.microsoft.com/office/drawing/2014/main" id="{66D2E200-BDEE-4A0A-B09F-67C9153F0571}"/>
            </a:ext>
          </a:extLst>
        </xdr:cNvPr>
        <xdr:cNvCxnSpPr/>
      </xdr:nvCxnSpPr>
      <xdr:spPr>
        <a:xfrm>
          <a:off x="12820650" y="7396163"/>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35</xdr:row>
      <xdr:rowOff>42863</xdr:rowOff>
    </xdr:from>
    <xdr:to>
      <xdr:col>43</xdr:col>
      <xdr:colOff>0</xdr:colOff>
      <xdr:row>35</xdr:row>
      <xdr:rowOff>157163</xdr:rowOff>
    </xdr:to>
    <xdr:sp macro="" textlink="">
      <xdr:nvSpPr>
        <xdr:cNvPr id="29" name="직사각형 28">
          <a:extLst>
            <a:ext uri="{FF2B5EF4-FFF2-40B4-BE49-F238E27FC236}">
              <a16:creationId xmlns:a16="http://schemas.microsoft.com/office/drawing/2014/main" id="{FB63C424-E156-40A4-95BD-0113FC8D14A9}"/>
            </a:ext>
          </a:extLst>
        </xdr:cNvPr>
        <xdr:cNvSpPr/>
      </xdr:nvSpPr>
      <xdr:spPr>
        <a:xfrm>
          <a:off x="12134850" y="7138988"/>
          <a:ext cx="685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35</xdr:row>
      <xdr:rowOff>100013</xdr:rowOff>
    </xdr:from>
    <xdr:to>
      <xdr:col>43</xdr:col>
      <xdr:colOff>0</xdr:colOff>
      <xdr:row>35</xdr:row>
      <xdr:rowOff>100013</xdr:rowOff>
    </xdr:to>
    <xdr:cxnSp macro="">
      <xdr:nvCxnSpPr>
        <xdr:cNvPr id="30" name="직선 화살표 연결선 29">
          <a:extLst>
            <a:ext uri="{FF2B5EF4-FFF2-40B4-BE49-F238E27FC236}">
              <a16:creationId xmlns:a16="http://schemas.microsoft.com/office/drawing/2014/main" id="{C1861629-6FC4-4F76-AF74-D8B35F38698E}"/>
            </a:ext>
          </a:extLst>
        </xdr:cNvPr>
        <xdr:cNvCxnSpPr/>
      </xdr:nvCxnSpPr>
      <xdr:spPr>
        <a:xfrm>
          <a:off x="12134850" y="7196138"/>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34</xdr:row>
      <xdr:rowOff>42863</xdr:rowOff>
    </xdr:from>
    <xdr:to>
      <xdr:col>55</xdr:col>
      <xdr:colOff>0</xdr:colOff>
      <xdr:row>34</xdr:row>
      <xdr:rowOff>157163</xdr:rowOff>
    </xdr:to>
    <xdr:sp macro="" textlink="">
      <xdr:nvSpPr>
        <xdr:cNvPr id="31" name="직사각형 30">
          <a:extLst>
            <a:ext uri="{FF2B5EF4-FFF2-40B4-BE49-F238E27FC236}">
              <a16:creationId xmlns:a16="http://schemas.microsoft.com/office/drawing/2014/main" id="{E0798F1B-6D71-4B62-A57A-732388F7BF78}"/>
            </a:ext>
          </a:extLst>
        </xdr:cNvPr>
        <xdr:cNvSpPr/>
      </xdr:nvSpPr>
      <xdr:spPr>
        <a:xfrm>
          <a:off x="12134850" y="6938963"/>
          <a:ext cx="2057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34</xdr:row>
      <xdr:rowOff>100013</xdr:rowOff>
    </xdr:from>
    <xdr:to>
      <xdr:col>47</xdr:col>
      <xdr:colOff>57150</xdr:colOff>
      <xdr:row>34</xdr:row>
      <xdr:rowOff>100013</xdr:rowOff>
    </xdr:to>
    <xdr:cxnSp macro="">
      <xdr:nvCxnSpPr>
        <xdr:cNvPr id="32" name="직선 화살표 연결선 31">
          <a:extLst>
            <a:ext uri="{FF2B5EF4-FFF2-40B4-BE49-F238E27FC236}">
              <a16:creationId xmlns:a16="http://schemas.microsoft.com/office/drawing/2014/main" id="{5A0CEC13-3397-4481-A9D0-EC2BB683FCB6}"/>
            </a:ext>
          </a:extLst>
        </xdr:cNvPr>
        <xdr:cNvCxnSpPr/>
      </xdr:nvCxnSpPr>
      <xdr:spPr>
        <a:xfrm>
          <a:off x="12134850" y="6996113"/>
          <a:ext cx="1200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33</xdr:row>
      <xdr:rowOff>42863</xdr:rowOff>
    </xdr:from>
    <xdr:to>
      <xdr:col>54</xdr:col>
      <xdr:colOff>0</xdr:colOff>
      <xdr:row>33</xdr:row>
      <xdr:rowOff>157163</xdr:rowOff>
    </xdr:to>
    <xdr:sp macro="" textlink="">
      <xdr:nvSpPr>
        <xdr:cNvPr id="33" name="직사각형 32">
          <a:extLst>
            <a:ext uri="{FF2B5EF4-FFF2-40B4-BE49-F238E27FC236}">
              <a16:creationId xmlns:a16="http://schemas.microsoft.com/office/drawing/2014/main" id="{9E234766-FF23-46F8-8447-97C260E5924B}"/>
            </a:ext>
          </a:extLst>
        </xdr:cNvPr>
        <xdr:cNvSpPr/>
      </xdr:nvSpPr>
      <xdr:spPr>
        <a:xfrm>
          <a:off x="13620750" y="6738938"/>
          <a:ext cx="4572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0</xdr:colOff>
      <xdr:row>33</xdr:row>
      <xdr:rowOff>100013</xdr:rowOff>
    </xdr:from>
    <xdr:to>
      <xdr:col>54</xdr:col>
      <xdr:colOff>0</xdr:colOff>
      <xdr:row>33</xdr:row>
      <xdr:rowOff>100013</xdr:rowOff>
    </xdr:to>
    <xdr:cxnSp macro="">
      <xdr:nvCxnSpPr>
        <xdr:cNvPr id="34" name="직선 화살표 연결선 33">
          <a:extLst>
            <a:ext uri="{FF2B5EF4-FFF2-40B4-BE49-F238E27FC236}">
              <a16:creationId xmlns:a16="http://schemas.microsoft.com/office/drawing/2014/main" id="{67A27841-7874-448B-9DD6-5CFAD069DB61}"/>
            </a:ext>
          </a:extLst>
        </xdr:cNvPr>
        <xdr:cNvCxnSpPr/>
      </xdr:nvCxnSpPr>
      <xdr:spPr>
        <a:xfrm>
          <a:off x="13620750" y="6796088"/>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32</xdr:row>
      <xdr:rowOff>42863</xdr:rowOff>
    </xdr:from>
    <xdr:to>
      <xdr:col>54</xdr:col>
      <xdr:colOff>0</xdr:colOff>
      <xdr:row>32</xdr:row>
      <xdr:rowOff>157163</xdr:rowOff>
    </xdr:to>
    <xdr:sp macro="" textlink="">
      <xdr:nvSpPr>
        <xdr:cNvPr id="35" name="직사각형 34">
          <a:extLst>
            <a:ext uri="{FF2B5EF4-FFF2-40B4-BE49-F238E27FC236}">
              <a16:creationId xmlns:a16="http://schemas.microsoft.com/office/drawing/2014/main" id="{713C461F-F9C4-4AA7-8828-BA9E3548F90A}"/>
            </a:ext>
          </a:extLst>
        </xdr:cNvPr>
        <xdr:cNvSpPr/>
      </xdr:nvSpPr>
      <xdr:spPr>
        <a:xfrm>
          <a:off x="13620750" y="6538913"/>
          <a:ext cx="4572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0</xdr:colOff>
      <xdr:row>32</xdr:row>
      <xdr:rowOff>100013</xdr:rowOff>
    </xdr:from>
    <xdr:to>
      <xdr:col>54</xdr:col>
      <xdr:colOff>0</xdr:colOff>
      <xdr:row>32</xdr:row>
      <xdr:rowOff>100013</xdr:rowOff>
    </xdr:to>
    <xdr:cxnSp macro="">
      <xdr:nvCxnSpPr>
        <xdr:cNvPr id="36" name="직선 화살표 연결선 35">
          <a:extLst>
            <a:ext uri="{FF2B5EF4-FFF2-40B4-BE49-F238E27FC236}">
              <a16:creationId xmlns:a16="http://schemas.microsoft.com/office/drawing/2014/main" id="{1F08552E-1539-414E-930E-96DA4207BFE1}"/>
            </a:ext>
          </a:extLst>
        </xdr:cNvPr>
        <xdr:cNvCxnSpPr/>
      </xdr:nvCxnSpPr>
      <xdr:spPr>
        <a:xfrm>
          <a:off x="13620750" y="6596063"/>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31</xdr:row>
      <xdr:rowOff>42863</xdr:rowOff>
    </xdr:from>
    <xdr:to>
      <xdr:col>54</xdr:col>
      <xdr:colOff>0</xdr:colOff>
      <xdr:row>31</xdr:row>
      <xdr:rowOff>157163</xdr:rowOff>
    </xdr:to>
    <xdr:sp macro="" textlink="">
      <xdr:nvSpPr>
        <xdr:cNvPr id="37" name="직사각형 36">
          <a:extLst>
            <a:ext uri="{FF2B5EF4-FFF2-40B4-BE49-F238E27FC236}">
              <a16:creationId xmlns:a16="http://schemas.microsoft.com/office/drawing/2014/main" id="{549FA69C-24D2-4D59-A6EF-3038446D2AEA}"/>
            </a:ext>
          </a:extLst>
        </xdr:cNvPr>
        <xdr:cNvSpPr/>
      </xdr:nvSpPr>
      <xdr:spPr>
        <a:xfrm>
          <a:off x="13620750" y="6338888"/>
          <a:ext cx="4572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0</xdr:colOff>
      <xdr:row>31</xdr:row>
      <xdr:rowOff>100013</xdr:rowOff>
    </xdr:from>
    <xdr:to>
      <xdr:col>54</xdr:col>
      <xdr:colOff>0</xdr:colOff>
      <xdr:row>31</xdr:row>
      <xdr:rowOff>100013</xdr:rowOff>
    </xdr:to>
    <xdr:cxnSp macro="">
      <xdr:nvCxnSpPr>
        <xdr:cNvPr id="38" name="직선 화살표 연결선 37">
          <a:extLst>
            <a:ext uri="{FF2B5EF4-FFF2-40B4-BE49-F238E27FC236}">
              <a16:creationId xmlns:a16="http://schemas.microsoft.com/office/drawing/2014/main" id="{C5FCB050-5ED0-4E9B-82BC-F74BC1B02575}"/>
            </a:ext>
          </a:extLst>
        </xdr:cNvPr>
        <xdr:cNvCxnSpPr/>
      </xdr:nvCxnSpPr>
      <xdr:spPr>
        <a:xfrm>
          <a:off x="13620750" y="6396038"/>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42863</xdr:rowOff>
    </xdr:from>
    <xdr:to>
      <xdr:col>51</xdr:col>
      <xdr:colOff>0</xdr:colOff>
      <xdr:row>30</xdr:row>
      <xdr:rowOff>157163</xdr:rowOff>
    </xdr:to>
    <xdr:sp macro="" textlink="">
      <xdr:nvSpPr>
        <xdr:cNvPr id="39" name="직사각형 38">
          <a:extLst>
            <a:ext uri="{FF2B5EF4-FFF2-40B4-BE49-F238E27FC236}">
              <a16:creationId xmlns:a16="http://schemas.microsoft.com/office/drawing/2014/main" id="{C316D35E-D751-45AC-B7DE-35F7832718FC}"/>
            </a:ext>
          </a:extLst>
        </xdr:cNvPr>
        <xdr:cNvSpPr/>
      </xdr:nvSpPr>
      <xdr:spPr>
        <a:xfrm>
          <a:off x="12249150" y="6138863"/>
          <a:ext cx="1485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100013</xdr:rowOff>
    </xdr:from>
    <xdr:to>
      <xdr:col>51</xdr:col>
      <xdr:colOff>0</xdr:colOff>
      <xdr:row>30</xdr:row>
      <xdr:rowOff>100013</xdr:rowOff>
    </xdr:to>
    <xdr:cxnSp macro="">
      <xdr:nvCxnSpPr>
        <xdr:cNvPr id="40" name="직선 화살표 연결선 39">
          <a:extLst>
            <a:ext uri="{FF2B5EF4-FFF2-40B4-BE49-F238E27FC236}">
              <a16:creationId xmlns:a16="http://schemas.microsoft.com/office/drawing/2014/main" id="{74129717-269C-41AA-AA2F-F8C4BE3DEE87}"/>
            </a:ext>
          </a:extLst>
        </xdr:cNvPr>
        <xdr:cNvCxnSpPr/>
      </xdr:nvCxnSpPr>
      <xdr:spPr>
        <a:xfrm>
          <a:off x="12249150" y="6196013"/>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29</xdr:row>
      <xdr:rowOff>42863</xdr:rowOff>
    </xdr:from>
    <xdr:to>
      <xdr:col>39</xdr:col>
      <xdr:colOff>0</xdr:colOff>
      <xdr:row>29</xdr:row>
      <xdr:rowOff>157163</xdr:rowOff>
    </xdr:to>
    <xdr:sp macro="" textlink="">
      <xdr:nvSpPr>
        <xdr:cNvPr id="41" name="직사각형 40">
          <a:extLst>
            <a:ext uri="{FF2B5EF4-FFF2-40B4-BE49-F238E27FC236}">
              <a16:creationId xmlns:a16="http://schemas.microsoft.com/office/drawing/2014/main" id="{91A4606E-08F5-485C-A9D8-E018408DDCDC}"/>
            </a:ext>
          </a:extLst>
        </xdr:cNvPr>
        <xdr:cNvSpPr/>
      </xdr:nvSpPr>
      <xdr:spPr>
        <a:xfrm>
          <a:off x="12134850" y="5938838"/>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29</xdr:row>
      <xdr:rowOff>100013</xdr:rowOff>
    </xdr:from>
    <xdr:to>
      <xdr:col>39</xdr:col>
      <xdr:colOff>0</xdr:colOff>
      <xdr:row>29</xdr:row>
      <xdr:rowOff>100013</xdr:rowOff>
    </xdr:to>
    <xdr:cxnSp macro="">
      <xdr:nvCxnSpPr>
        <xdr:cNvPr id="42" name="직선 화살표 연결선 41">
          <a:extLst>
            <a:ext uri="{FF2B5EF4-FFF2-40B4-BE49-F238E27FC236}">
              <a16:creationId xmlns:a16="http://schemas.microsoft.com/office/drawing/2014/main" id="{50ABE478-5190-4BCB-A260-E197A2268920}"/>
            </a:ext>
          </a:extLst>
        </xdr:cNvPr>
        <xdr:cNvCxnSpPr/>
      </xdr:nvCxnSpPr>
      <xdr:spPr>
        <a:xfrm>
          <a:off x="12134850" y="5995988"/>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28</xdr:row>
      <xdr:rowOff>42863</xdr:rowOff>
    </xdr:from>
    <xdr:to>
      <xdr:col>55</xdr:col>
      <xdr:colOff>0</xdr:colOff>
      <xdr:row>28</xdr:row>
      <xdr:rowOff>157163</xdr:rowOff>
    </xdr:to>
    <xdr:sp macro="" textlink="">
      <xdr:nvSpPr>
        <xdr:cNvPr id="43" name="직사각형 42">
          <a:extLst>
            <a:ext uri="{FF2B5EF4-FFF2-40B4-BE49-F238E27FC236}">
              <a16:creationId xmlns:a16="http://schemas.microsoft.com/office/drawing/2014/main" id="{3C0BC74E-229C-41D2-945F-8180F35D0987}"/>
            </a:ext>
          </a:extLst>
        </xdr:cNvPr>
        <xdr:cNvSpPr/>
      </xdr:nvSpPr>
      <xdr:spPr>
        <a:xfrm>
          <a:off x="12134850" y="5738813"/>
          <a:ext cx="20574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28</xdr:row>
      <xdr:rowOff>100013</xdr:rowOff>
    </xdr:from>
    <xdr:to>
      <xdr:col>55</xdr:col>
      <xdr:colOff>0</xdr:colOff>
      <xdr:row>28</xdr:row>
      <xdr:rowOff>100013</xdr:rowOff>
    </xdr:to>
    <xdr:cxnSp macro="">
      <xdr:nvCxnSpPr>
        <xdr:cNvPr id="44" name="직선 화살표 연결선 43">
          <a:extLst>
            <a:ext uri="{FF2B5EF4-FFF2-40B4-BE49-F238E27FC236}">
              <a16:creationId xmlns:a16="http://schemas.microsoft.com/office/drawing/2014/main" id="{FF0EDC5F-F136-4E38-91C8-2DCAA7B34ACA}"/>
            </a:ext>
          </a:extLst>
        </xdr:cNvPr>
        <xdr:cNvCxnSpPr/>
      </xdr:nvCxnSpPr>
      <xdr:spPr>
        <a:xfrm>
          <a:off x="12134850" y="5795963"/>
          <a:ext cx="2057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27</xdr:row>
      <xdr:rowOff>42863</xdr:rowOff>
    </xdr:from>
    <xdr:to>
      <xdr:col>55</xdr:col>
      <xdr:colOff>0</xdr:colOff>
      <xdr:row>27</xdr:row>
      <xdr:rowOff>157163</xdr:rowOff>
    </xdr:to>
    <xdr:sp macro="" textlink="">
      <xdr:nvSpPr>
        <xdr:cNvPr id="45" name="직사각형 44">
          <a:extLst>
            <a:ext uri="{FF2B5EF4-FFF2-40B4-BE49-F238E27FC236}">
              <a16:creationId xmlns:a16="http://schemas.microsoft.com/office/drawing/2014/main" id="{A3EF5EFC-EA61-4ABC-A266-0D6405BF311D}"/>
            </a:ext>
          </a:extLst>
        </xdr:cNvPr>
        <xdr:cNvSpPr/>
      </xdr:nvSpPr>
      <xdr:spPr>
        <a:xfrm>
          <a:off x="12134850" y="5538788"/>
          <a:ext cx="2057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27</xdr:row>
      <xdr:rowOff>100013</xdr:rowOff>
    </xdr:from>
    <xdr:to>
      <xdr:col>55</xdr:col>
      <xdr:colOff>0</xdr:colOff>
      <xdr:row>27</xdr:row>
      <xdr:rowOff>100013</xdr:rowOff>
    </xdr:to>
    <xdr:cxnSp macro="">
      <xdr:nvCxnSpPr>
        <xdr:cNvPr id="46" name="직선 화살표 연결선 45">
          <a:extLst>
            <a:ext uri="{FF2B5EF4-FFF2-40B4-BE49-F238E27FC236}">
              <a16:creationId xmlns:a16="http://schemas.microsoft.com/office/drawing/2014/main" id="{5A0603B1-599C-4095-989F-67AD7B64C3B3}"/>
            </a:ext>
          </a:extLst>
        </xdr:cNvPr>
        <xdr:cNvCxnSpPr/>
      </xdr:nvCxnSpPr>
      <xdr:spPr>
        <a:xfrm>
          <a:off x="12134850" y="5595938"/>
          <a:ext cx="2057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26</xdr:row>
      <xdr:rowOff>42863</xdr:rowOff>
    </xdr:from>
    <xdr:to>
      <xdr:col>38</xdr:col>
      <xdr:colOff>0</xdr:colOff>
      <xdr:row>26</xdr:row>
      <xdr:rowOff>157163</xdr:rowOff>
    </xdr:to>
    <xdr:sp macro="" textlink="">
      <xdr:nvSpPr>
        <xdr:cNvPr id="47" name="직사각형 46">
          <a:extLst>
            <a:ext uri="{FF2B5EF4-FFF2-40B4-BE49-F238E27FC236}">
              <a16:creationId xmlns:a16="http://schemas.microsoft.com/office/drawing/2014/main" id="{7EC22113-C755-4AD3-AA8B-FBB0DA42D315}"/>
            </a:ext>
          </a:extLst>
        </xdr:cNvPr>
        <xdr:cNvSpPr/>
      </xdr:nvSpPr>
      <xdr:spPr>
        <a:xfrm>
          <a:off x="12134850" y="533876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26</xdr:row>
      <xdr:rowOff>100013</xdr:rowOff>
    </xdr:from>
    <xdr:to>
      <xdr:col>38</xdr:col>
      <xdr:colOff>0</xdr:colOff>
      <xdr:row>26</xdr:row>
      <xdr:rowOff>100013</xdr:rowOff>
    </xdr:to>
    <xdr:cxnSp macro="">
      <xdr:nvCxnSpPr>
        <xdr:cNvPr id="48" name="직선 화살표 연결선 47">
          <a:extLst>
            <a:ext uri="{FF2B5EF4-FFF2-40B4-BE49-F238E27FC236}">
              <a16:creationId xmlns:a16="http://schemas.microsoft.com/office/drawing/2014/main" id="{25370798-AB7A-4788-A13E-E2C5AC7668A4}"/>
            </a:ext>
          </a:extLst>
        </xdr:cNvPr>
        <xdr:cNvCxnSpPr/>
      </xdr:nvCxnSpPr>
      <xdr:spPr>
        <a:xfrm>
          <a:off x="12134850" y="5395913"/>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25</xdr:row>
      <xdr:rowOff>52388</xdr:rowOff>
    </xdr:from>
    <xdr:to>
      <xdr:col>53</xdr:col>
      <xdr:colOff>0</xdr:colOff>
      <xdr:row>25</xdr:row>
      <xdr:rowOff>166688</xdr:rowOff>
    </xdr:to>
    <xdr:sp macro="" textlink="">
      <xdr:nvSpPr>
        <xdr:cNvPr id="49" name="직사각형 48">
          <a:extLst>
            <a:ext uri="{FF2B5EF4-FFF2-40B4-BE49-F238E27FC236}">
              <a16:creationId xmlns:a16="http://schemas.microsoft.com/office/drawing/2014/main" id="{35DE66DD-9663-4E26-8886-AF511FD741B6}"/>
            </a:ext>
          </a:extLst>
        </xdr:cNvPr>
        <xdr:cNvSpPr/>
      </xdr:nvSpPr>
      <xdr:spPr>
        <a:xfrm>
          <a:off x="13849350" y="512921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25</xdr:row>
      <xdr:rowOff>109538</xdr:rowOff>
    </xdr:from>
    <xdr:to>
      <xdr:col>53</xdr:col>
      <xdr:colOff>0</xdr:colOff>
      <xdr:row>25</xdr:row>
      <xdr:rowOff>109538</xdr:rowOff>
    </xdr:to>
    <xdr:cxnSp macro="">
      <xdr:nvCxnSpPr>
        <xdr:cNvPr id="50" name="직선 화살표 연결선 49">
          <a:extLst>
            <a:ext uri="{FF2B5EF4-FFF2-40B4-BE49-F238E27FC236}">
              <a16:creationId xmlns:a16="http://schemas.microsoft.com/office/drawing/2014/main" id="{E87BE1F7-9C4D-4CC4-9AC7-0C21454F4F29}"/>
            </a:ext>
          </a:extLst>
        </xdr:cNvPr>
        <xdr:cNvCxnSpPr/>
      </xdr:nvCxnSpPr>
      <xdr:spPr>
        <a:xfrm>
          <a:off x="13849350" y="5186363"/>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24</xdr:row>
      <xdr:rowOff>52388</xdr:rowOff>
    </xdr:from>
    <xdr:to>
      <xdr:col>53</xdr:col>
      <xdr:colOff>0</xdr:colOff>
      <xdr:row>24</xdr:row>
      <xdr:rowOff>166688</xdr:rowOff>
    </xdr:to>
    <xdr:sp macro="" textlink="">
      <xdr:nvSpPr>
        <xdr:cNvPr id="51" name="직사각형 50">
          <a:extLst>
            <a:ext uri="{FF2B5EF4-FFF2-40B4-BE49-F238E27FC236}">
              <a16:creationId xmlns:a16="http://schemas.microsoft.com/office/drawing/2014/main" id="{F9BFA0CD-E76F-442A-B9E0-ED9618D62131}"/>
            </a:ext>
          </a:extLst>
        </xdr:cNvPr>
        <xdr:cNvSpPr/>
      </xdr:nvSpPr>
      <xdr:spPr>
        <a:xfrm>
          <a:off x="13849350" y="491013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24</xdr:row>
      <xdr:rowOff>109538</xdr:rowOff>
    </xdr:from>
    <xdr:to>
      <xdr:col>53</xdr:col>
      <xdr:colOff>0</xdr:colOff>
      <xdr:row>24</xdr:row>
      <xdr:rowOff>109538</xdr:rowOff>
    </xdr:to>
    <xdr:cxnSp macro="">
      <xdr:nvCxnSpPr>
        <xdr:cNvPr id="52" name="직선 화살표 연결선 51">
          <a:extLst>
            <a:ext uri="{FF2B5EF4-FFF2-40B4-BE49-F238E27FC236}">
              <a16:creationId xmlns:a16="http://schemas.microsoft.com/office/drawing/2014/main" id="{CBE8E9FF-0598-4654-BBB8-160BBA5F2CF1}"/>
            </a:ext>
          </a:extLst>
        </xdr:cNvPr>
        <xdr:cNvCxnSpPr/>
      </xdr:nvCxnSpPr>
      <xdr:spPr>
        <a:xfrm>
          <a:off x="13849350" y="496728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23</xdr:row>
      <xdr:rowOff>52388</xdr:rowOff>
    </xdr:from>
    <xdr:to>
      <xdr:col>52</xdr:col>
      <xdr:colOff>0</xdr:colOff>
      <xdr:row>23</xdr:row>
      <xdr:rowOff>166688</xdr:rowOff>
    </xdr:to>
    <xdr:sp macro="" textlink="">
      <xdr:nvSpPr>
        <xdr:cNvPr id="53" name="직사각형 52">
          <a:extLst>
            <a:ext uri="{FF2B5EF4-FFF2-40B4-BE49-F238E27FC236}">
              <a16:creationId xmlns:a16="http://schemas.microsoft.com/office/drawing/2014/main" id="{17DC400A-8D5C-4ADC-8C42-37F5A784FD8E}"/>
            </a:ext>
          </a:extLst>
        </xdr:cNvPr>
        <xdr:cNvSpPr/>
      </xdr:nvSpPr>
      <xdr:spPr>
        <a:xfrm>
          <a:off x="13735050" y="469106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23</xdr:row>
      <xdr:rowOff>109538</xdr:rowOff>
    </xdr:from>
    <xdr:to>
      <xdr:col>52</xdr:col>
      <xdr:colOff>0</xdr:colOff>
      <xdr:row>23</xdr:row>
      <xdr:rowOff>109538</xdr:rowOff>
    </xdr:to>
    <xdr:cxnSp macro="">
      <xdr:nvCxnSpPr>
        <xdr:cNvPr id="54" name="직선 화살표 연결선 53">
          <a:extLst>
            <a:ext uri="{FF2B5EF4-FFF2-40B4-BE49-F238E27FC236}">
              <a16:creationId xmlns:a16="http://schemas.microsoft.com/office/drawing/2014/main" id="{D10326F3-39B2-4E7F-B6D3-A0647492D886}"/>
            </a:ext>
          </a:extLst>
        </xdr:cNvPr>
        <xdr:cNvCxnSpPr/>
      </xdr:nvCxnSpPr>
      <xdr:spPr>
        <a:xfrm>
          <a:off x="13735050" y="4748213"/>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22</xdr:row>
      <xdr:rowOff>52388</xdr:rowOff>
    </xdr:from>
    <xdr:to>
      <xdr:col>53</xdr:col>
      <xdr:colOff>0</xdr:colOff>
      <xdr:row>22</xdr:row>
      <xdr:rowOff>166688</xdr:rowOff>
    </xdr:to>
    <xdr:sp macro="" textlink="">
      <xdr:nvSpPr>
        <xdr:cNvPr id="55" name="직사각형 54">
          <a:extLst>
            <a:ext uri="{FF2B5EF4-FFF2-40B4-BE49-F238E27FC236}">
              <a16:creationId xmlns:a16="http://schemas.microsoft.com/office/drawing/2014/main" id="{44887CED-CD8B-4C99-9DF8-D56B187C2AE4}"/>
            </a:ext>
          </a:extLst>
        </xdr:cNvPr>
        <xdr:cNvSpPr/>
      </xdr:nvSpPr>
      <xdr:spPr>
        <a:xfrm>
          <a:off x="13735050" y="4471988"/>
          <a:ext cx="2286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22</xdr:row>
      <xdr:rowOff>109538</xdr:rowOff>
    </xdr:from>
    <xdr:to>
      <xdr:col>53</xdr:col>
      <xdr:colOff>0</xdr:colOff>
      <xdr:row>22</xdr:row>
      <xdr:rowOff>109538</xdr:rowOff>
    </xdr:to>
    <xdr:cxnSp macro="">
      <xdr:nvCxnSpPr>
        <xdr:cNvPr id="56" name="직선 화살표 연결선 55">
          <a:extLst>
            <a:ext uri="{FF2B5EF4-FFF2-40B4-BE49-F238E27FC236}">
              <a16:creationId xmlns:a16="http://schemas.microsoft.com/office/drawing/2014/main" id="{9BE61F2D-7A48-4331-BAA3-3F6DEEE3013C}"/>
            </a:ext>
          </a:extLst>
        </xdr:cNvPr>
        <xdr:cNvCxnSpPr/>
      </xdr:nvCxnSpPr>
      <xdr:spPr>
        <a:xfrm>
          <a:off x="13735050" y="4529138"/>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21</xdr:row>
      <xdr:rowOff>52388</xdr:rowOff>
    </xdr:from>
    <xdr:to>
      <xdr:col>55</xdr:col>
      <xdr:colOff>0</xdr:colOff>
      <xdr:row>21</xdr:row>
      <xdr:rowOff>166688</xdr:rowOff>
    </xdr:to>
    <xdr:sp macro="" textlink="">
      <xdr:nvSpPr>
        <xdr:cNvPr id="57" name="직사각형 56">
          <a:extLst>
            <a:ext uri="{FF2B5EF4-FFF2-40B4-BE49-F238E27FC236}">
              <a16:creationId xmlns:a16="http://schemas.microsoft.com/office/drawing/2014/main" id="{35257B30-411B-41EC-9107-8C855A72823D}"/>
            </a:ext>
          </a:extLst>
        </xdr:cNvPr>
        <xdr:cNvSpPr/>
      </xdr:nvSpPr>
      <xdr:spPr>
        <a:xfrm>
          <a:off x="14077950" y="425291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0</xdr:colOff>
      <xdr:row>21</xdr:row>
      <xdr:rowOff>109538</xdr:rowOff>
    </xdr:from>
    <xdr:to>
      <xdr:col>54</xdr:col>
      <xdr:colOff>0</xdr:colOff>
      <xdr:row>21</xdr:row>
      <xdr:rowOff>109538</xdr:rowOff>
    </xdr:to>
    <xdr:cxnSp macro="">
      <xdr:nvCxnSpPr>
        <xdr:cNvPr id="58" name="직선 화살표 연결선 57">
          <a:extLst>
            <a:ext uri="{FF2B5EF4-FFF2-40B4-BE49-F238E27FC236}">
              <a16:creationId xmlns:a16="http://schemas.microsoft.com/office/drawing/2014/main" id="{D3BB7CDB-8646-491D-89DC-C0FE098CF94C}"/>
            </a:ext>
          </a:extLst>
        </xdr:cNvPr>
        <xdr:cNvCxnSpPr/>
      </xdr:nvCxnSpPr>
      <xdr:spPr>
        <a:xfrm>
          <a:off x="14077950" y="4310063"/>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20</xdr:row>
      <xdr:rowOff>52388</xdr:rowOff>
    </xdr:from>
    <xdr:to>
      <xdr:col>53</xdr:col>
      <xdr:colOff>0</xdr:colOff>
      <xdr:row>20</xdr:row>
      <xdr:rowOff>166688</xdr:rowOff>
    </xdr:to>
    <xdr:sp macro="" textlink="">
      <xdr:nvSpPr>
        <xdr:cNvPr id="59" name="직사각형 58">
          <a:extLst>
            <a:ext uri="{FF2B5EF4-FFF2-40B4-BE49-F238E27FC236}">
              <a16:creationId xmlns:a16="http://schemas.microsoft.com/office/drawing/2014/main" id="{D9C73084-B865-439C-A962-B469E9167373}"/>
            </a:ext>
          </a:extLst>
        </xdr:cNvPr>
        <xdr:cNvSpPr/>
      </xdr:nvSpPr>
      <xdr:spPr>
        <a:xfrm>
          <a:off x="13735050" y="4033838"/>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20</xdr:row>
      <xdr:rowOff>109538</xdr:rowOff>
    </xdr:from>
    <xdr:to>
      <xdr:col>53</xdr:col>
      <xdr:colOff>0</xdr:colOff>
      <xdr:row>20</xdr:row>
      <xdr:rowOff>109538</xdr:rowOff>
    </xdr:to>
    <xdr:cxnSp macro="">
      <xdr:nvCxnSpPr>
        <xdr:cNvPr id="60" name="직선 화살표 연결선 59">
          <a:extLst>
            <a:ext uri="{FF2B5EF4-FFF2-40B4-BE49-F238E27FC236}">
              <a16:creationId xmlns:a16="http://schemas.microsoft.com/office/drawing/2014/main" id="{079ACA73-15AA-4AFD-8E99-397EDD63FA2F}"/>
            </a:ext>
          </a:extLst>
        </xdr:cNvPr>
        <xdr:cNvCxnSpPr/>
      </xdr:nvCxnSpPr>
      <xdr:spPr>
        <a:xfrm>
          <a:off x="13735050" y="4090988"/>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19</xdr:row>
      <xdr:rowOff>52388</xdr:rowOff>
    </xdr:from>
    <xdr:to>
      <xdr:col>51</xdr:col>
      <xdr:colOff>0</xdr:colOff>
      <xdr:row>19</xdr:row>
      <xdr:rowOff>166688</xdr:rowOff>
    </xdr:to>
    <xdr:sp macro="" textlink="">
      <xdr:nvSpPr>
        <xdr:cNvPr id="61" name="직사각형 60">
          <a:extLst>
            <a:ext uri="{FF2B5EF4-FFF2-40B4-BE49-F238E27FC236}">
              <a16:creationId xmlns:a16="http://schemas.microsoft.com/office/drawing/2014/main" id="{288F104F-2071-4E85-8538-873D40410758}"/>
            </a:ext>
          </a:extLst>
        </xdr:cNvPr>
        <xdr:cNvSpPr/>
      </xdr:nvSpPr>
      <xdr:spPr>
        <a:xfrm>
          <a:off x="12134850" y="3814763"/>
          <a:ext cx="16002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19</xdr:row>
      <xdr:rowOff>109538</xdr:rowOff>
    </xdr:from>
    <xdr:to>
      <xdr:col>51</xdr:col>
      <xdr:colOff>0</xdr:colOff>
      <xdr:row>19</xdr:row>
      <xdr:rowOff>109538</xdr:rowOff>
    </xdr:to>
    <xdr:cxnSp macro="">
      <xdr:nvCxnSpPr>
        <xdr:cNvPr id="62" name="직선 화살표 연결선 61">
          <a:extLst>
            <a:ext uri="{FF2B5EF4-FFF2-40B4-BE49-F238E27FC236}">
              <a16:creationId xmlns:a16="http://schemas.microsoft.com/office/drawing/2014/main" id="{C91C1EB1-3111-4B01-97AA-F631570816BD}"/>
            </a:ext>
          </a:extLst>
        </xdr:cNvPr>
        <xdr:cNvCxnSpPr/>
      </xdr:nvCxnSpPr>
      <xdr:spPr>
        <a:xfrm>
          <a:off x="12134850" y="3871913"/>
          <a:ext cx="1600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18</xdr:row>
      <xdr:rowOff>52388</xdr:rowOff>
    </xdr:from>
    <xdr:to>
      <xdr:col>55</xdr:col>
      <xdr:colOff>0</xdr:colOff>
      <xdr:row>18</xdr:row>
      <xdr:rowOff>166688</xdr:rowOff>
    </xdr:to>
    <xdr:sp macro="" textlink="">
      <xdr:nvSpPr>
        <xdr:cNvPr id="63" name="직사각형 62">
          <a:extLst>
            <a:ext uri="{FF2B5EF4-FFF2-40B4-BE49-F238E27FC236}">
              <a16:creationId xmlns:a16="http://schemas.microsoft.com/office/drawing/2014/main" id="{70F86470-BAAF-4213-889F-BAC69416E5DA}"/>
            </a:ext>
          </a:extLst>
        </xdr:cNvPr>
        <xdr:cNvSpPr/>
      </xdr:nvSpPr>
      <xdr:spPr>
        <a:xfrm>
          <a:off x="12134850" y="3595688"/>
          <a:ext cx="2057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18</xdr:row>
      <xdr:rowOff>109538</xdr:rowOff>
    </xdr:from>
    <xdr:to>
      <xdr:col>53</xdr:col>
      <xdr:colOff>41563</xdr:colOff>
      <xdr:row>18</xdr:row>
      <xdr:rowOff>109538</xdr:rowOff>
    </xdr:to>
    <xdr:cxnSp macro="">
      <xdr:nvCxnSpPr>
        <xdr:cNvPr id="3584" name="직선 화살표 연결선 3583">
          <a:extLst>
            <a:ext uri="{FF2B5EF4-FFF2-40B4-BE49-F238E27FC236}">
              <a16:creationId xmlns:a16="http://schemas.microsoft.com/office/drawing/2014/main" id="{EBA4B607-0B2C-4EED-9FE6-C02AE6641BA5}"/>
            </a:ext>
          </a:extLst>
        </xdr:cNvPr>
        <xdr:cNvCxnSpPr/>
      </xdr:nvCxnSpPr>
      <xdr:spPr>
        <a:xfrm>
          <a:off x="12134850" y="3652838"/>
          <a:ext cx="1870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17</xdr:row>
      <xdr:rowOff>42863</xdr:rowOff>
    </xdr:from>
    <xdr:to>
      <xdr:col>55</xdr:col>
      <xdr:colOff>0</xdr:colOff>
      <xdr:row>17</xdr:row>
      <xdr:rowOff>157163</xdr:rowOff>
    </xdr:to>
    <xdr:sp macro="" textlink="">
      <xdr:nvSpPr>
        <xdr:cNvPr id="3585" name="직사각형 3584">
          <a:extLst>
            <a:ext uri="{FF2B5EF4-FFF2-40B4-BE49-F238E27FC236}">
              <a16:creationId xmlns:a16="http://schemas.microsoft.com/office/drawing/2014/main" id="{A9704F7C-1A86-496F-94FB-A2D7C3A0D4A7}"/>
            </a:ext>
          </a:extLst>
        </xdr:cNvPr>
        <xdr:cNvSpPr/>
      </xdr:nvSpPr>
      <xdr:spPr>
        <a:xfrm>
          <a:off x="12134850" y="3386138"/>
          <a:ext cx="2057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17</xdr:row>
      <xdr:rowOff>100013</xdr:rowOff>
    </xdr:from>
    <xdr:to>
      <xdr:col>53</xdr:col>
      <xdr:colOff>72341</xdr:colOff>
      <xdr:row>17</xdr:row>
      <xdr:rowOff>100013</xdr:rowOff>
    </xdr:to>
    <xdr:cxnSp macro="">
      <xdr:nvCxnSpPr>
        <xdr:cNvPr id="3586" name="직선 화살표 연결선 3585">
          <a:extLst>
            <a:ext uri="{FF2B5EF4-FFF2-40B4-BE49-F238E27FC236}">
              <a16:creationId xmlns:a16="http://schemas.microsoft.com/office/drawing/2014/main" id="{D5080A81-0784-4474-AC35-9C069F1B97D5}"/>
            </a:ext>
          </a:extLst>
        </xdr:cNvPr>
        <xdr:cNvCxnSpPr/>
      </xdr:nvCxnSpPr>
      <xdr:spPr>
        <a:xfrm>
          <a:off x="12134850" y="3443288"/>
          <a:ext cx="19011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16</xdr:row>
      <xdr:rowOff>42863</xdr:rowOff>
    </xdr:from>
    <xdr:to>
      <xdr:col>38</xdr:col>
      <xdr:colOff>0</xdr:colOff>
      <xdr:row>16</xdr:row>
      <xdr:rowOff>157163</xdr:rowOff>
    </xdr:to>
    <xdr:sp macro="" textlink="">
      <xdr:nvSpPr>
        <xdr:cNvPr id="3587" name="직사각형 3586">
          <a:extLst>
            <a:ext uri="{FF2B5EF4-FFF2-40B4-BE49-F238E27FC236}">
              <a16:creationId xmlns:a16="http://schemas.microsoft.com/office/drawing/2014/main" id="{1F2BF39A-18D4-4C6A-A5FD-F6D919B44587}"/>
            </a:ext>
          </a:extLst>
        </xdr:cNvPr>
        <xdr:cNvSpPr/>
      </xdr:nvSpPr>
      <xdr:spPr>
        <a:xfrm>
          <a:off x="12020550" y="3186113"/>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16</xdr:row>
      <xdr:rowOff>100013</xdr:rowOff>
    </xdr:from>
    <xdr:to>
      <xdr:col>38</xdr:col>
      <xdr:colOff>0</xdr:colOff>
      <xdr:row>16</xdr:row>
      <xdr:rowOff>100013</xdr:rowOff>
    </xdr:to>
    <xdr:cxnSp macro="">
      <xdr:nvCxnSpPr>
        <xdr:cNvPr id="3588" name="직선 화살표 연결선 3587">
          <a:extLst>
            <a:ext uri="{FF2B5EF4-FFF2-40B4-BE49-F238E27FC236}">
              <a16:creationId xmlns:a16="http://schemas.microsoft.com/office/drawing/2014/main" id="{9472AE65-A136-4AC6-8EAF-304EBDB21320}"/>
            </a:ext>
          </a:extLst>
        </xdr:cNvPr>
        <xdr:cNvCxnSpPr/>
      </xdr:nvCxnSpPr>
      <xdr:spPr>
        <a:xfrm>
          <a:off x="12020550" y="3243263"/>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42863</xdr:rowOff>
    </xdr:from>
    <xdr:to>
      <xdr:col>34</xdr:col>
      <xdr:colOff>0</xdr:colOff>
      <xdr:row>15</xdr:row>
      <xdr:rowOff>157163</xdr:rowOff>
    </xdr:to>
    <xdr:sp macro="" textlink="">
      <xdr:nvSpPr>
        <xdr:cNvPr id="3589" name="직사각형 3588">
          <a:extLst>
            <a:ext uri="{FF2B5EF4-FFF2-40B4-BE49-F238E27FC236}">
              <a16:creationId xmlns:a16="http://schemas.microsoft.com/office/drawing/2014/main" id="{E9D5360A-7F42-4EB5-811D-6C27BCCB5462}"/>
            </a:ext>
          </a:extLst>
        </xdr:cNvPr>
        <xdr:cNvSpPr/>
      </xdr:nvSpPr>
      <xdr:spPr>
        <a:xfrm>
          <a:off x="11677650" y="298608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100013</xdr:rowOff>
    </xdr:from>
    <xdr:to>
      <xdr:col>34</xdr:col>
      <xdr:colOff>0</xdr:colOff>
      <xdr:row>15</xdr:row>
      <xdr:rowOff>100013</xdr:rowOff>
    </xdr:to>
    <xdr:cxnSp macro="">
      <xdr:nvCxnSpPr>
        <xdr:cNvPr id="3590" name="직선 화살표 연결선 3589">
          <a:extLst>
            <a:ext uri="{FF2B5EF4-FFF2-40B4-BE49-F238E27FC236}">
              <a16:creationId xmlns:a16="http://schemas.microsoft.com/office/drawing/2014/main" id="{AEAFF2D3-FBD8-40E5-BA61-EFB882B9BF14}"/>
            </a:ext>
          </a:extLst>
        </xdr:cNvPr>
        <xdr:cNvCxnSpPr/>
      </xdr:nvCxnSpPr>
      <xdr:spPr>
        <a:xfrm>
          <a:off x="11677650" y="304323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14</xdr:row>
      <xdr:rowOff>42863</xdr:rowOff>
    </xdr:from>
    <xdr:to>
      <xdr:col>34</xdr:col>
      <xdr:colOff>0</xdr:colOff>
      <xdr:row>14</xdr:row>
      <xdr:rowOff>157163</xdr:rowOff>
    </xdr:to>
    <xdr:sp macro="" textlink="">
      <xdr:nvSpPr>
        <xdr:cNvPr id="3591" name="직사각형 3590">
          <a:extLst>
            <a:ext uri="{FF2B5EF4-FFF2-40B4-BE49-F238E27FC236}">
              <a16:creationId xmlns:a16="http://schemas.microsoft.com/office/drawing/2014/main" id="{49B1A5C9-9E1C-49A4-B7DC-30030402A471}"/>
            </a:ext>
          </a:extLst>
        </xdr:cNvPr>
        <xdr:cNvSpPr/>
      </xdr:nvSpPr>
      <xdr:spPr>
        <a:xfrm>
          <a:off x="11677650" y="278606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14</xdr:row>
      <xdr:rowOff>100013</xdr:rowOff>
    </xdr:from>
    <xdr:to>
      <xdr:col>34</xdr:col>
      <xdr:colOff>0</xdr:colOff>
      <xdr:row>14</xdr:row>
      <xdr:rowOff>100013</xdr:rowOff>
    </xdr:to>
    <xdr:cxnSp macro="">
      <xdr:nvCxnSpPr>
        <xdr:cNvPr id="3592" name="직선 화살표 연결선 3591">
          <a:extLst>
            <a:ext uri="{FF2B5EF4-FFF2-40B4-BE49-F238E27FC236}">
              <a16:creationId xmlns:a16="http://schemas.microsoft.com/office/drawing/2014/main" id="{ED9C34BA-A023-41AD-822E-810AECDBE99F}"/>
            </a:ext>
          </a:extLst>
        </xdr:cNvPr>
        <xdr:cNvCxnSpPr/>
      </xdr:nvCxnSpPr>
      <xdr:spPr>
        <a:xfrm>
          <a:off x="11677650" y="2843213"/>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13</xdr:row>
      <xdr:rowOff>42863</xdr:rowOff>
    </xdr:from>
    <xdr:to>
      <xdr:col>34</xdr:col>
      <xdr:colOff>0</xdr:colOff>
      <xdr:row>13</xdr:row>
      <xdr:rowOff>157163</xdr:rowOff>
    </xdr:to>
    <xdr:sp macro="" textlink="">
      <xdr:nvSpPr>
        <xdr:cNvPr id="3593" name="직사각형 3592">
          <a:extLst>
            <a:ext uri="{FF2B5EF4-FFF2-40B4-BE49-F238E27FC236}">
              <a16:creationId xmlns:a16="http://schemas.microsoft.com/office/drawing/2014/main" id="{0D1D915F-A052-409E-80D1-0E66BC96D489}"/>
            </a:ext>
          </a:extLst>
        </xdr:cNvPr>
        <xdr:cNvSpPr/>
      </xdr:nvSpPr>
      <xdr:spPr>
        <a:xfrm>
          <a:off x="11677650" y="258603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13</xdr:row>
      <xdr:rowOff>100013</xdr:rowOff>
    </xdr:from>
    <xdr:to>
      <xdr:col>34</xdr:col>
      <xdr:colOff>0</xdr:colOff>
      <xdr:row>13</xdr:row>
      <xdr:rowOff>100013</xdr:rowOff>
    </xdr:to>
    <xdr:cxnSp macro="">
      <xdr:nvCxnSpPr>
        <xdr:cNvPr id="3594" name="직선 화살표 연결선 3593">
          <a:extLst>
            <a:ext uri="{FF2B5EF4-FFF2-40B4-BE49-F238E27FC236}">
              <a16:creationId xmlns:a16="http://schemas.microsoft.com/office/drawing/2014/main" id="{D4CDC276-C891-460A-8921-1E98EEA0D9E4}"/>
            </a:ext>
          </a:extLst>
        </xdr:cNvPr>
        <xdr:cNvCxnSpPr/>
      </xdr:nvCxnSpPr>
      <xdr:spPr>
        <a:xfrm>
          <a:off x="11677650" y="264318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12</xdr:row>
      <xdr:rowOff>42863</xdr:rowOff>
    </xdr:from>
    <xdr:to>
      <xdr:col>33</xdr:col>
      <xdr:colOff>0</xdr:colOff>
      <xdr:row>12</xdr:row>
      <xdr:rowOff>157163</xdr:rowOff>
    </xdr:to>
    <xdr:sp macro="" textlink="">
      <xdr:nvSpPr>
        <xdr:cNvPr id="3595" name="직사각형 3594">
          <a:extLst>
            <a:ext uri="{FF2B5EF4-FFF2-40B4-BE49-F238E27FC236}">
              <a16:creationId xmlns:a16="http://schemas.microsoft.com/office/drawing/2014/main" id="{92B77655-5EF5-4288-8436-5CA30C6BCD45}"/>
            </a:ext>
          </a:extLst>
        </xdr:cNvPr>
        <xdr:cNvSpPr/>
      </xdr:nvSpPr>
      <xdr:spPr>
        <a:xfrm>
          <a:off x="11563350" y="2386013"/>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12</xdr:row>
      <xdr:rowOff>100013</xdr:rowOff>
    </xdr:from>
    <xdr:to>
      <xdr:col>33</xdr:col>
      <xdr:colOff>0</xdr:colOff>
      <xdr:row>12</xdr:row>
      <xdr:rowOff>100013</xdr:rowOff>
    </xdr:to>
    <xdr:cxnSp macro="">
      <xdr:nvCxnSpPr>
        <xdr:cNvPr id="3596" name="직선 화살표 연결선 3595">
          <a:extLst>
            <a:ext uri="{FF2B5EF4-FFF2-40B4-BE49-F238E27FC236}">
              <a16:creationId xmlns:a16="http://schemas.microsoft.com/office/drawing/2014/main" id="{767503A3-A0FD-4B24-AFE6-33C27B5894DB}"/>
            </a:ext>
          </a:extLst>
        </xdr:cNvPr>
        <xdr:cNvCxnSpPr/>
      </xdr:nvCxnSpPr>
      <xdr:spPr>
        <a:xfrm>
          <a:off x="11563350" y="2443163"/>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11</xdr:row>
      <xdr:rowOff>42863</xdr:rowOff>
    </xdr:from>
    <xdr:to>
      <xdr:col>33</xdr:col>
      <xdr:colOff>0</xdr:colOff>
      <xdr:row>11</xdr:row>
      <xdr:rowOff>157163</xdr:rowOff>
    </xdr:to>
    <xdr:sp macro="" textlink="">
      <xdr:nvSpPr>
        <xdr:cNvPr id="3597" name="직사각형 3596">
          <a:extLst>
            <a:ext uri="{FF2B5EF4-FFF2-40B4-BE49-F238E27FC236}">
              <a16:creationId xmlns:a16="http://schemas.microsoft.com/office/drawing/2014/main" id="{1E79A616-66B3-4994-881E-EFD2A968BF4C}"/>
            </a:ext>
          </a:extLst>
        </xdr:cNvPr>
        <xdr:cNvSpPr/>
      </xdr:nvSpPr>
      <xdr:spPr>
        <a:xfrm>
          <a:off x="11563350" y="218598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11</xdr:row>
      <xdr:rowOff>100013</xdr:rowOff>
    </xdr:from>
    <xdr:to>
      <xdr:col>33</xdr:col>
      <xdr:colOff>0</xdr:colOff>
      <xdr:row>11</xdr:row>
      <xdr:rowOff>100013</xdr:rowOff>
    </xdr:to>
    <xdr:cxnSp macro="">
      <xdr:nvCxnSpPr>
        <xdr:cNvPr id="3598" name="직선 화살표 연결선 3597">
          <a:extLst>
            <a:ext uri="{FF2B5EF4-FFF2-40B4-BE49-F238E27FC236}">
              <a16:creationId xmlns:a16="http://schemas.microsoft.com/office/drawing/2014/main" id="{3B844800-6CE3-48F2-94D3-7C287A90A321}"/>
            </a:ext>
          </a:extLst>
        </xdr:cNvPr>
        <xdr:cNvCxnSpPr/>
      </xdr:nvCxnSpPr>
      <xdr:spPr>
        <a:xfrm>
          <a:off x="11563350" y="224313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10</xdr:row>
      <xdr:rowOff>42863</xdr:rowOff>
    </xdr:from>
    <xdr:to>
      <xdr:col>33</xdr:col>
      <xdr:colOff>0</xdr:colOff>
      <xdr:row>10</xdr:row>
      <xdr:rowOff>157163</xdr:rowOff>
    </xdr:to>
    <xdr:sp macro="" textlink="">
      <xdr:nvSpPr>
        <xdr:cNvPr id="3599" name="직사각형 3598">
          <a:extLst>
            <a:ext uri="{FF2B5EF4-FFF2-40B4-BE49-F238E27FC236}">
              <a16:creationId xmlns:a16="http://schemas.microsoft.com/office/drawing/2014/main" id="{69EC9B60-CB3E-4A81-99E8-1BF44BFA5F46}"/>
            </a:ext>
          </a:extLst>
        </xdr:cNvPr>
        <xdr:cNvSpPr/>
      </xdr:nvSpPr>
      <xdr:spPr>
        <a:xfrm>
          <a:off x="11449050" y="1985963"/>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10</xdr:row>
      <xdr:rowOff>100013</xdr:rowOff>
    </xdr:from>
    <xdr:to>
      <xdr:col>33</xdr:col>
      <xdr:colOff>0</xdr:colOff>
      <xdr:row>10</xdr:row>
      <xdr:rowOff>100013</xdr:rowOff>
    </xdr:to>
    <xdr:cxnSp macro="">
      <xdr:nvCxnSpPr>
        <xdr:cNvPr id="3600" name="직선 화살표 연결선 3599">
          <a:extLst>
            <a:ext uri="{FF2B5EF4-FFF2-40B4-BE49-F238E27FC236}">
              <a16:creationId xmlns:a16="http://schemas.microsoft.com/office/drawing/2014/main" id="{EF342238-3CBD-4370-B90F-6CADC2157577}"/>
            </a:ext>
          </a:extLst>
        </xdr:cNvPr>
        <xdr:cNvCxnSpPr/>
      </xdr:nvCxnSpPr>
      <xdr:spPr>
        <a:xfrm>
          <a:off x="11449050" y="2043113"/>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9</xdr:row>
      <xdr:rowOff>42863</xdr:rowOff>
    </xdr:from>
    <xdr:to>
      <xdr:col>31</xdr:col>
      <xdr:colOff>0</xdr:colOff>
      <xdr:row>9</xdr:row>
      <xdr:rowOff>157163</xdr:rowOff>
    </xdr:to>
    <xdr:sp macro="" textlink="">
      <xdr:nvSpPr>
        <xdr:cNvPr id="3601" name="직사각형 3600">
          <a:extLst>
            <a:ext uri="{FF2B5EF4-FFF2-40B4-BE49-F238E27FC236}">
              <a16:creationId xmlns:a16="http://schemas.microsoft.com/office/drawing/2014/main" id="{40B8680C-E50A-4146-ABD2-A54C0BC54A73}"/>
            </a:ext>
          </a:extLst>
        </xdr:cNvPr>
        <xdr:cNvSpPr/>
      </xdr:nvSpPr>
      <xdr:spPr>
        <a:xfrm>
          <a:off x="11334750" y="178593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9</xdr:row>
      <xdr:rowOff>100013</xdr:rowOff>
    </xdr:from>
    <xdr:to>
      <xdr:col>31</xdr:col>
      <xdr:colOff>0</xdr:colOff>
      <xdr:row>9</xdr:row>
      <xdr:rowOff>100013</xdr:rowOff>
    </xdr:to>
    <xdr:cxnSp macro="">
      <xdr:nvCxnSpPr>
        <xdr:cNvPr id="3602" name="직선 화살표 연결선 3601">
          <a:extLst>
            <a:ext uri="{FF2B5EF4-FFF2-40B4-BE49-F238E27FC236}">
              <a16:creationId xmlns:a16="http://schemas.microsoft.com/office/drawing/2014/main" id="{5FAC7AD4-546F-410F-A65B-3B3DDAF5A371}"/>
            </a:ext>
          </a:extLst>
        </xdr:cNvPr>
        <xdr:cNvCxnSpPr/>
      </xdr:nvCxnSpPr>
      <xdr:spPr>
        <a:xfrm>
          <a:off x="11334750" y="184308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xdr:row>
      <xdr:rowOff>42863</xdr:rowOff>
    </xdr:from>
    <xdr:to>
      <xdr:col>32</xdr:col>
      <xdr:colOff>0</xdr:colOff>
      <xdr:row>8</xdr:row>
      <xdr:rowOff>157163</xdr:rowOff>
    </xdr:to>
    <xdr:sp macro="" textlink="">
      <xdr:nvSpPr>
        <xdr:cNvPr id="3603" name="직사각형 3602">
          <a:extLst>
            <a:ext uri="{FF2B5EF4-FFF2-40B4-BE49-F238E27FC236}">
              <a16:creationId xmlns:a16="http://schemas.microsoft.com/office/drawing/2014/main" id="{B9384F8D-27A8-4EC5-B892-AC9ECCF545AF}"/>
            </a:ext>
          </a:extLst>
        </xdr:cNvPr>
        <xdr:cNvSpPr/>
      </xdr:nvSpPr>
      <xdr:spPr>
        <a:xfrm>
          <a:off x="11220450" y="1585913"/>
          <a:ext cx="3429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8</xdr:row>
      <xdr:rowOff>100013</xdr:rowOff>
    </xdr:from>
    <xdr:to>
      <xdr:col>32</xdr:col>
      <xdr:colOff>0</xdr:colOff>
      <xdr:row>8</xdr:row>
      <xdr:rowOff>100013</xdr:rowOff>
    </xdr:to>
    <xdr:cxnSp macro="">
      <xdr:nvCxnSpPr>
        <xdr:cNvPr id="3604" name="직선 화살표 연결선 3603">
          <a:extLst>
            <a:ext uri="{FF2B5EF4-FFF2-40B4-BE49-F238E27FC236}">
              <a16:creationId xmlns:a16="http://schemas.microsoft.com/office/drawing/2014/main" id="{724A4452-3E38-49A1-AA5E-1D49D77044F1}"/>
            </a:ext>
          </a:extLst>
        </xdr:cNvPr>
        <xdr:cNvCxnSpPr/>
      </xdr:nvCxnSpPr>
      <xdr:spPr>
        <a:xfrm>
          <a:off x="11220450" y="1643063"/>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xdr:row>
      <xdr:rowOff>42863</xdr:rowOff>
    </xdr:from>
    <xdr:to>
      <xdr:col>32</xdr:col>
      <xdr:colOff>0</xdr:colOff>
      <xdr:row>7</xdr:row>
      <xdr:rowOff>157163</xdr:rowOff>
    </xdr:to>
    <xdr:sp macro="" textlink="">
      <xdr:nvSpPr>
        <xdr:cNvPr id="3605" name="직사각형 3604">
          <a:extLst>
            <a:ext uri="{FF2B5EF4-FFF2-40B4-BE49-F238E27FC236}">
              <a16:creationId xmlns:a16="http://schemas.microsoft.com/office/drawing/2014/main" id="{FC95668E-66A7-4B4A-8074-814A53588B71}"/>
            </a:ext>
          </a:extLst>
        </xdr:cNvPr>
        <xdr:cNvSpPr/>
      </xdr:nvSpPr>
      <xdr:spPr>
        <a:xfrm>
          <a:off x="11334750" y="1385888"/>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7</xdr:row>
      <xdr:rowOff>100013</xdr:rowOff>
    </xdr:from>
    <xdr:to>
      <xdr:col>32</xdr:col>
      <xdr:colOff>0</xdr:colOff>
      <xdr:row>7</xdr:row>
      <xdr:rowOff>100013</xdr:rowOff>
    </xdr:to>
    <xdr:cxnSp macro="">
      <xdr:nvCxnSpPr>
        <xdr:cNvPr id="3606" name="직선 화살표 연결선 3605">
          <a:extLst>
            <a:ext uri="{FF2B5EF4-FFF2-40B4-BE49-F238E27FC236}">
              <a16:creationId xmlns:a16="http://schemas.microsoft.com/office/drawing/2014/main" id="{5A8A2D5A-9EC6-4D0E-8F20-D566338502FD}"/>
            </a:ext>
          </a:extLst>
        </xdr:cNvPr>
        <xdr:cNvCxnSpPr/>
      </xdr:nvCxnSpPr>
      <xdr:spPr>
        <a:xfrm>
          <a:off x="11334750" y="1443038"/>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xdr:row>
      <xdr:rowOff>42863</xdr:rowOff>
    </xdr:from>
    <xdr:to>
      <xdr:col>31</xdr:col>
      <xdr:colOff>0</xdr:colOff>
      <xdr:row>6</xdr:row>
      <xdr:rowOff>157163</xdr:rowOff>
    </xdr:to>
    <xdr:sp macro="" textlink="">
      <xdr:nvSpPr>
        <xdr:cNvPr id="3607" name="직사각형 3606">
          <a:extLst>
            <a:ext uri="{FF2B5EF4-FFF2-40B4-BE49-F238E27FC236}">
              <a16:creationId xmlns:a16="http://schemas.microsoft.com/office/drawing/2014/main" id="{9A638A04-3B2C-455D-8BC8-BC209594AC8D}"/>
            </a:ext>
          </a:extLst>
        </xdr:cNvPr>
        <xdr:cNvSpPr/>
      </xdr:nvSpPr>
      <xdr:spPr>
        <a:xfrm>
          <a:off x="11220450" y="1185863"/>
          <a:ext cx="228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6</xdr:row>
      <xdr:rowOff>100013</xdr:rowOff>
    </xdr:from>
    <xdr:to>
      <xdr:col>31</xdr:col>
      <xdr:colOff>0</xdr:colOff>
      <xdr:row>6</xdr:row>
      <xdr:rowOff>100013</xdr:rowOff>
    </xdr:to>
    <xdr:cxnSp macro="">
      <xdr:nvCxnSpPr>
        <xdr:cNvPr id="3608" name="직선 화살표 연결선 3607">
          <a:extLst>
            <a:ext uri="{FF2B5EF4-FFF2-40B4-BE49-F238E27FC236}">
              <a16:creationId xmlns:a16="http://schemas.microsoft.com/office/drawing/2014/main" id="{E508D47F-3687-402A-A878-B5624D5B7B93}"/>
            </a:ext>
          </a:extLst>
        </xdr:cNvPr>
        <xdr:cNvCxnSpPr/>
      </xdr:nvCxnSpPr>
      <xdr:spPr>
        <a:xfrm>
          <a:off x="11220450" y="1243013"/>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xdr:row>
      <xdr:rowOff>42863</xdr:rowOff>
    </xdr:from>
    <xdr:to>
      <xdr:col>30</xdr:col>
      <xdr:colOff>0</xdr:colOff>
      <xdr:row>5</xdr:row>
      <xdr:rowOff>157163</xdr:rowOff>
    </xdr:to>
    <xdr:sp macro="" textlink="">
      <xdr:nvSpPr>
        <xdr:cNvPr id="3609" name="직사각형 3608">
          <a:extLst>
            <a:ext uri="{FF2B5EF4-FFF2-40B4-BE49-F238E27FC236}">
              <a16:creationId xmlns:a16="http://schemas.microsoft.com/office/drawing/2014/main" id="{5080323A-9771-451E-8337-54265844736F}"/>
            </a:ext>
          </a:extLst>
        </xdr:cNvPr>
        <xdr:cNvSpPr/>
      </xdr:nvSpPr>
      <xdr:spPr>
        <a:xfrm>
          <a:off x="11220450" y="985838"/>
          <a:ext cx="1143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5</xdr:row>
      <xdr:rowOff>100013</xdr:rowOff>
    </xdr:from>
    <xdr:to>
      <xdr:col>30</xdr:col>
      <xdr:colOff>0</xdr:colOff>
      <xdr:row>5</xdr:row>
      <xdr:rowOff>100013</xdr:rowOff>
    </xdr:to>
    <xdr:cxnSp macro="">
      <xdr:nvCxnSpPr>
        <xdr:cNvPr id="3610" name="직선 화살표 연결선 3609">
          <a:extLst>
            <a:ext uri="{FF2B5EF4-FFF2-40B4-BE49-F238E27FC236}">
              <a16:creationId xmlns:a16="http://schemas.microsoft.com/office/drawing/2014/main" id="{745A46BD-D2AE-45E3-B5CD-E7DE2D282FA3}"/>
            </a:ext>
          </a:extLst>
        </xdr:cNvPr>
        <xdr:cNvCxnSpPr/>
      </xdr:nvCxnSpPr>
      <xdr:spPr>
        <a:xfrm>
          <a:off x="11220450" y="1042988"/>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xdr:row>
      <xdr:rowOff>42863</xdr:rowOff>
    </xdr:from>
    <xdr:to>
      <xdr:col>38</xdr:col>
      <xdr:colOff>0</xdr:colOff>
      <xdr:row>4</xdr:row>
      <xdr:rowOff>157163</xdr:rowOff>
    </xdr:to>
    <xdr:sp macro="" textlink="">
      <xdr:nvSpPr>
        <xdr:cNvPr id="3611" name="직사각형 3610">
          <a:extLst>
            <a:ext uri="{FF2B5EF4-FFF2-40B4-BE49-F238E27FC236}">
              <a16:creationId xmlns:a16="http://schemas.microsoft.com/office/drawing/2014/main" id="{D14F75DB-D34E-4850-A4D1-1131F0BEB42D}"/>
            </a:ext>
          </a:extLst>
        </xdr:cNvPr>
        <xdr:cNvSpPr/>
      </xdr:nvSpPr>
      <xdr:spPr>
        <a:xfrm>
          <a:off x="11220450" y="785813"/>
          <a:ext cx="10287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4</xdr:row>
      <xdr:rowOff>100013</xdr:rowOff>
    </xdr:from>
    <xdr:to>
      <xdr:col>38</xdr:col>
      <xdr:colOff>0</xdr:colOff>
      <xdr:row>4</xdr:row>
      <xdr:rowOff>100013</xdr:rowOff>
    </xdr:to>
    <xdr:cxnSp macro="">
      <xdr:nvCxnSpPr>
        <xdr:cNvPr id="3612" name="직선 화살표 연결선 3611">
          <a:extLst>
            <a:ext uri="{FF2B5EF4-FFF2-40B4-BE49-F238E27FC236}">
              <a16:creationId xmlns:a16="http://schemas.microsoft.com/office/drawing/2014/main" id="{FF5B140C-65EC-4CDA-9B54-7870230C3204}"/>
            </a:ext>
          </a:extLst>
        </xdr:cNvPr>
        <xdr:cNvCxnSpPr/>
      </xdr:nvCxnSpPr>
      <xdr:spPr>
        <a:xfrm>
          <a:off x="11220450" y="842963"/>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85" bestFit="1" customWidth="1"/>
    <col min="2" max="2" width="23.125" style="82" bestFit="1" customWidth="1"/>
    <col min="3" max="3" width="21.75" style="82" customWidth="1"/>
    <col min="4" max="4" width="27.375" style="82" bestFit="1" customWidth="1"/>
    <col min="5" max="5" width="12.875" style="82" bestFit="1" customWidth="1"/>
    <col min="6" max="6" width="17.75" style="82" bestFit="1" customWidth="1"/>
    <col min="7" max="7" width="21.875" style="85" bestFit="1" customWidth="1"/>
    <col min="8" max="8" width="23.75" style="85" bestFit="1" customWidth="1"/>
    <col min="9" max="9" width="9.75" style="85" bestFit="1" customWidth="1"/>
    <col min="10" max="10" width="25.125" style="85" bestFit="1" customWidth="1"/>
    <col min="11" max="11" width="4.875" style="85" bestFit="1" customWidth="1"/>
    <col min="12" max="12" width="25.125" style="85" bestFit="1" customWidth="1"/>
    <col min="13" max="13" width="4.875" style="85" bestFit="1" customWidth="1"/>
    <col min="14" max="14" width="23" style="85" bestFit="1" customWidth="1"/>
    <col min="15" max="15" width="14.5" style="85" customWidth="1"/>
    <col min="16" max="16" width="28.375" style="85" bestFit="1" customWidth="1"/>
    <col min="17" max="17" width="9.5" style="85" bestFit="1" customWidth="1"/>
    <col min="18" max="18" width="27.75" style="85" bestFit="1" customWidth="1"/>
    <col min="19" max="19" width="4.875" style="85" bestFit="1" customWidth="1"/>
    <col min="20" max="20" width="25" style="85" bestFit="1" customWidth="1"/>
    <col min="21" max="21" width="4.375" style="85" bestFit="1" customWidth="1"/>
    <col min="22" max="22" width="23" style="85" bestFit="1" customWidth="1"/>
    <col min="23" max="23" width="8.125" style="85" bestFit="1" customWidth="1"/>
    <col min="24" max="24" width="22.625" style="85" bestFit="1" customWidth="1"/>
    <col min="25" max="25" width="9.5" style="85" bestFit="1" customWidth="1"/>
    <col min="26" max="26" width="26.25" style="85" bestFit="1" customWidth="1"/>
    <col min="27" max="27" width="7.875" style="85" bestFit="1" customWidth="1"/>
    <col min="28" max="28" width="21.25" style="85" bestFit="1" customWidth="1"/>
    <col min="29" max="29" width="15.625" style="85" bestFit="1" customWidth="1"/>
    <col min="30" max="30" width="23.5" style="85" bestFit="1" customWidth="1"/>
    <col min="31" max="31" width="15.25" style="85" bestFit="1" customWidth="1"/>
    <col min="32" max="32" width="22.625" style="85" bestFit="1" customWidth="1"/>
    <col min="33" max="33" width="60.875" style="85" bestFit="1" customWidth="1"/>
    <col min="34" max="34" width="28.375" style="85" bestFit="1" customWidth="1"/>
    <col min="35" max="35" width="11.5" style="85" bestFit="1" customWidth="1"/>
    <col min="36" max="36" width="25.125" style="85" bestFit="1" customWidth="1"/>
    <col min="37" max="37" width="4" style="85" bestFit="1" customWidth="1"/>
    <col min="38" max="38" width="14.875" style="85" bestFit="1" customWidth="1"/>
    <col min="39" max="39" width="11.625" style="85" bestFit="1" customWidth="1"/>
    <col min="40" max="40" width="22.625" style="85" bestFit="1" customWidth="1"/>
    <col min="41" max="41" width="5.875" style="85" bestFit="1" customWidth="1"/>
    <col min="42" max="42" width="15.875" style="85" bestFit="1" customWidth="1"/>
    <col min="43" max="43" width="6.375" style="85" bestFit="1" customWidth="1"/>
    <col min="44" max="44" width="13.25" style="85" bestFit="1" customWidth="1"/>
    <col min="45" max="45" width="3.25" style="85" bestFit="1" customWidth="1"/>
    <col min="46" max="46" width="14.875" style="85" bestFit="1" customWidth="1"/>
    <col min="47" max="47" width="28.625" style="85" bestFit="1" customWidth="1"/>
    <col min="48" max="48" width="22.625" style="85" bestFit="1" customWidth="1"/>
    <col min="49" max="49" width="5.375" style="85" bestFit="1" customWidth="1"/>
    <col min="50" max="50" width="15.875" style="85" bestFit="1" customWidth="1"/>
    <col min="51" max="51" width="10" style="85"/>
    <col min="52" max="52" width="13.25" style="85" bestFit="1" customWidth="1"/>
    <col min="53" max="53" width="10" style="85"/>
    <col min="54" max="54" width="14.875" style="85" bestFit="1" customWidth="1"/>
    <col min="55" max="55" width="10" style="85"/>
    <col min="56" max="56" width="22.625" style="85" bestFit="1" customWidth="1"/>
    <col min="57" max="57" width="10" style="85"/>
    <col min="58" max="58" width="15.875" style="85" bestFit="1" customWidth="1"/>
    <col min="59" max="59" width="10" style="85"/>
    <col min="60" max="60" width="13.25" style="85" bestFit="1" customWidth="1"/>
    <col min="61" max="61" width="10" style="85"/>
    <col min="62" max="62" width="14.875" style="85" bestFit="1" customWidth="1"/>
    <col min="63" max="63" width="10" style="85"/>
    <col min="64" max="64" width="22.625" style="85" bestFit="1" customWidth="1"/>
    <col min="65" max="65" width="10" style="85"/>
    <col min="66" max="66" width="33.75" style="85" bestFit="1" customWidth="1"/>
    <col min="67" max="16384" width="10" style="85"/>
  </cols>
  <sheetData>
    <row r="1" spans="1:64" s="82" customFormat="1">
      <c r="A1" s="81" t="s">
        <v>4</v>
      </c>
      <c r="B1" s="81" t="s">
        <v>5</v>
      </c>
      <c r="C1" s="81" t="s">
        <v>6</v>
      </c>
      <c r="D1" s="81" t="s">
        <v>7</v>
      </c>
      <c r="E1" s="81" t="s">
        <v>8</v>
      </c>
      <c r="F1" s="81" t="s">
        <v>9</v>
      </c>
    </row>
    <row r="2" spans="1:64">
      <c r="A2" s="83" t="s">
        <v>10</v>
      </c>
      <c r="B2" s="84" t="s">
        <v>11</v>
      </c>
      <c r="C2" s="84"/>
      <c r="D2" s="84"/>
      <c r="E2" s="84" t="s">
        <v>12</v>
      </c>
      <c r="F2" s="84"/>
    </row>
    <row r="3" spans="1:64">
      <c r="A3" s="83" t="s">
        <v>398</v>
      </c>
      <c r="B3" s="84" t="s">
        <v>11</v>
      </c>
      <c r="C3" s="84"/>
      <c r="D3" s="84"/>
      <c r="E3" s="84" t="s">
        <v>12</v>
      </c>
      <c r="F3" s="84"/>
    </row>
    <row r="4" spans="1:64">
      <c r="A4" s="83" t="s">
        <v>13</v>
      </c>
      <c r="B4" s="94" t="s">
        <v>399</v>
      </c>
      <c r="C4" s="84"/>
      <c r="D4" s="84"/>
      <c r="E4" s="84" t="s">
        <v>12</v>
      </c>
      <c r="F4" s="84"/>
    </row>
    <row r="5" spans="1:64">
      <c r="A5" s="83" t="s">
        <v>14</v>
      </c>
      <c r="B5" s="84" t="s">
        <v>15</v>
      </c>
      <c r="C5" s="84"/>
      <c r="D5" s="84"/>
      <c r="E5" s="84" t="s">
        <v>12</v>
      </c>
      <c r="F5" s="84"/>
    </row>
    <row r="6" spans="1:64">
      <c r="A6" s="83" t="s">
        <v>16</v>
      </c>
      <c r="B6" s="94" t="s">
        <v>17</v>
      </c>
      <c r="C6" s="84"/>
      <c r="D6" s="84"/>
      <c r="E6" s="84" t="s">
        <v>12</v>
      </c>
      <c r="F6" s="84"/>
    </row>
    <row r="7" spans="1:64">
      <c r="A7" s="83" t="s">
        <v>18</v>
      </c>
      <c r="B7" s="83" t="s">
        <v>11</v>
      </c>
      <c r="C7" s="84"/>
      <c r="D7" s="84"/>
      <c r="E7" s="84" t="s">
        <v>12</v>
      </c>
      <c r="F7" s="84"/>
    </row>
    <row r="8" spans="1:64">
      <c r="A8" s="83" t="s">
        <v>19</v>
      </c>
      <c r="B8" s="86" t="s">
        <v>964</v>
      </c>
      <c r="C8" s="84" t="s">
        <v>1055</v>
      </c>
      <c r="D8" s="84">
        <v>82</v>
      </c>
      <c r="E8" s="84" t="s">
        <v>20</v>
      </c>
      <c r="F8" s="84"/>
    </row>
    <row r="9" spans="1:64">
      <c r="A9" s="83" t="s">
        <v>21</v>
      </c>
      <c r="B9" s="87">
        <v>43387</v>
      </c>
      <c r="C9" s="84"/>
      <c r="D9" s="84"/>
      <c r="E9" s="84" t="s">
        <v>12</v>
      </c>
      <c r="F9" s="84"/>
    </row>
    <row r="10" spans="1:64">
      <c r="A10" s="88" t="s">
        <v>22</v>
      </c>
      <c r="B10" s="89" t="s">
        <v>23</v>
      </c>
      <c r="C10" s="89"/>
      <c r="D10" s="89"/>
      <c r="E10" s="89" t="s">
        <v>12</v>
      </c>
      <c r="F10" s="89"/>
    </row>
    <row r="11" spans="1:64">
      <c r="A11" s="85" t="s">
        <v>400</v>
      </c>
      <c r="B11" s="90" t="s">
        <v>24</v>
      </c>
      <c r="C11" s="82" t="s">
        <v>1063</v>
      </c>
      <c r="D11" s="82" t="s">
        <v>25</v>
      </c>
      <c r="E11" s="91">
        <v>1</v>
      </c>
      <c r="F11" s="92" t="s">
        <v>26</v>
      </c>
      <c r="G11" s="93">
        <v>43710</v>
      </c>
      <c r="H11" s="92" t="s">
        <v>27</v>
      </c>
      <c r="I11" s="93">
        <v>43735</v>
      </c>
      <c r="J11" s="85" t="s">
        <v>417</v>
      </c>
      <c r="K11" s="85" t="s">
        <v>1056</v>
      </c>
      <c r="L11" s="85" t="s">
        <v>414</v>
      </c>
      <c r="M11" s="85">
        <v>1</v>
      </c>
      <c r="N11" s="90" t="s">
        <v>28</v>
      </c>
      <c r="O11" s="82">
        <v>0</v>
      </c>
      <c r="P11" s="82" t="s">
        <v>29</v>
      </c>
      <c r="Q11" s="90" t="s">
        <v>1027</v>
      </c>
      <c r="R11" s="85" t="s">
        <v>419</v>
      </c>
      <c r="S11" s="85">
        <v>1</v>
      </c>
      <c r="T11" s="85" t="s">
        <v>424</v>
      </c>
      <c r="U11" s="85">
        <v>1</v>
      </c>
      <c r="V11" s="85" t="s">
        <v>425</v>
      </c>
      <c r="W11" s="85">
        <v>0</v>
      </c>
      <c r="X11" s="85" t="s">
        <v>428</v>
      </c>
      <c r="Y11" s="85">
        <v>1</v>
      </c>
    </row>
    <row r="12" spans="1:64">
      <c r="A12" s="85" t="s">
        <v>403</v>
      </c>
      <c r="B12" s="85" t="s">
        <v>404</v>
      </c>
      <c r="C12" s="85">
        <v>1</v>
      </c>
      <c r="D12" s="85" t="s">
        <v>405</v>
      </c>
      <c r="E12" s="85">
        <v>1</v>
      </c>
      <c r="F12" s="85" t="s">
        <v>406</v>
      </c>
      <c r="G12" s="85">
        <v>0</v>
      </c>
      <c r="H12" s="85" t="s">
        <v>407</v>
      </c>
      <c r="I12" s="85">
        <v>1</v>
      </c>
      <c r="J12" s="85" t="s">
        <v>408</v>
      </c>
      <c r="K12" s="85">
        <v>0.7</v>
      </c>
      <c r="L12" s="85" t="s">
        <v>409</v>
      </c>
      <c r="M12" s="85">
        <v>2</v>
      </c>
      <c r="N12" s="85" t="s">
        <v>410</v>
      </c>
      <c r="O12" s="85">
        <v>1</v>
      </c>
      <c r="P12" s="85" t="s">
        <v>413</v>
      </c>
      <c r="Q12" s="85">
        <v>1</v>
      </c>
      <c r="R12" s="85" t="s">
        <v>420</v>
      </c>
      <c r="S12" s="85">
        <v>1</v>
      </c>
      <c r="T12" s="85" t="s">
        <v>421</v>
      </c>
      <c r="U12" s="85">
        <v>0</v>
      </c>
      <c r="V12" s="85" t="s">
        <v>422</v>
      </c>
      <c r="W12" s="85">
        <v>200</v>
      </c>
      <c r="X12" s="85" t="s">
        <v>423</v>
      </c>
      <c r="Y12" s="85">
        <v>0</v>
      </c>
      <c r="Z12" s="85" t="s">
        <v>426</v>
      </c>
      <c r="AA12" s="85">
        <v>1</v>
      </c>
      <c r="AB12" s="85" t="s">
        <v>427</v>
      </c>
      <c r="AC12" s="85">
        <v>1</v>
      </c>
      <c r="AD12" s="85" t="s">
        <v>962</v>
      </c>
      <c r="AE12" s="85">
        <v>1</v>
      </c>
    </row>
    <row r="13" spans="1:64">
      <c r="A13" s="84" t="s">
        <v>401</v>
      </c>
      <c r="B13" s="90" t="s">
        <v>30</v>
      </c>
      <c r="C13" s="82">
        <v>1</v>
      </c>
      <c r="D13" s="90" t="s">
        <v>31</v>
      </c>
      <c r="E13" s="82" t="s">
        <v>1028</v>
      </c>
      <c r="F13" s="82" t="s">
        <v>32</v>
      </c>
      <c r="G13" s="92" t="s">
        <v>966</v>
      </c>
      <c r="H13" s="92" t="s">
        <v>33</v>
      </c>
      <c r="I13" s="85" t="s">
        <v>966</v>
      </c>
    </row>
    <row r="14" spans="1:64">
      <c r="A14" s="84" t="s">
        <v>402</v>
      </c>
      <c r="B14" s="91" t="s">
        <v>34</v>
      </c>
      <c r="C14" s="91" t="s">
        <v>1038</v>
      </c>
      <c r="D14" s="91" t="s">
        <v>35</v>
      </c>
      <c r="E14" s="91" t="s">
        <v>1039</v>
      </c>
      <c r="F14" s="91" t="s">
        <v>36</v>
      </c>
      <c r="G14" s="91" t="s">
        <v>1021</v>
      </c>
      <c r="H14" s="91" t="s">
        <v>37</v>
      </c>
      <c r="I14" s="91" t="b">
        <v>0</v>
      </c>
      <c r="J14" s="91" t="s">
        <v>38</v>
      </c>
      <c r="K14" s="91" t="s">
        <v>1040</v>
      </c>
      <c r="L14" s="91" t="s">
        <v>39</v>
      </c>
      <c r="M14" s="91" t="s">
        <v>1022</v>
      </c>
      <c r="N14" s="91" t="s">
        <v>40</v>
      </c>
      <c r="O14" s="91" t="s">
        <v>1021</v>
      </c>
      <c r="P14" s="91" t="s">
        <v>41</v>
      </c>
      <c r="Q14" s="91" t="b">
        <v>0</v>
      </c>
      <c r="R14" s="91" t="s">
        <v>42</v>
      </c>
      <c r="S14" s="91" t="s">
        <v>1041</v>
      </c>
      <c r="T14" s="91" t="s">
        <v>43</v>
      </c>
      <c r="U14" s="91" t="s">
        <v>1042</v>
      </c>
      <c r="V14" s="91" t="s">
        <v>44</v>
      </c>
      <c r="W14" s="91" t="s">
        <v>1021</v>
      </c>
      <c r="X14" s="91" t="s">
        <v>45</v>
      </c>
      <c r="Y14" s="91" t="b">
        <v>1</v>
      </c>
      <c r="Z14" s="91" t="s">
        <v>46</v>
      </c>
      <c r="AA14" s="91" t="s">
        <v>1023</v>
      </c>
      <c r="AB14" s="91" t="s">
        <v>47</v>
      </c>
      <c r="AC14" s="91" t="s">
        <v>1043</v>
      </c>
      <c r="AD14" s="91" t="s">
        <v>48</v>
      </c>
      <c r="AE14" s="91" t="s">
        <v>1044</v>
      </c>
      <c r="AF14" s="91" t="s">
        <v>49</v>
      </c>
      <c r="AG14" s="91" t="b">
        <v>1</v>
      </c>
      <c r="AH14" s="91" t="s">
        <v>50</v>
      </c>
      <c r="AI14" s="91" t="s">
        <v>1029</v>
      </c>
      <c r="AJ14" s="91" t="s">
        <v>51</v>
      </c>
      <c r="AK14" s="91" t="s">
        <v>989</v>
      </c>
      <c r="AL14" s="91" t="s">
        <v>52</v>
      </c>
      <c r="AM14" s="91" t="s">
        <v>1045</v>
      </c>
      <c r="AN14" s="91" t="s">
        <v>53</v>
      </c>
      <c r="AO14" s="91" t="b">
        <v>0</v>
      </c>
      <c r="AP14" s="91" t="s">
        <v>54</v>
      </c>
      <c r="AQ14" s="91" t="s">
        <v>987</v>
      </c>
      <c r="AR14" s="91" t="s">
        <v>55</v>
      </c>
      <c r="AS14" s="91" t="s">
        <v>990</v>
      </c>
      <c r="AT14" s="91" t="s">
        <v>56</v>
      </c>
      <c r="AU14" s="91" t="s">
        <v>1030</v>
      </c>
      <c r="AV14" s="91" t="s">
        <v>57</v>
      </c>
      <c r="AW14" s="91" t="b">
        <v>1</v>
      </c>
      <c r="AX14" s="85" t="s">
        <v>58</v>
      </c>
      <c r="AZ14" s="85" t="s">
        <v>59</v>
      </c>
      <c r="BB14" s="85" t="s">
        <v>60</v>
      </c>
      <c r="BD14" s="85" t="s">
        <v>61</v>
      </c>
      <c r="BF14" s="85" t="s">
        <v>62</v>
      </c>
      <c r="BH14" s="85" t="s">
        <v>63</v>
      </c>
      <c r="BJ14" s="85" t="s">
        <v>64</v>
      </c>
      <c r="BL14" s="85" t="s">
        <v>65</v>
      </c>
    </row>
    <row r="15" spans="1:64">
      <c r="A15" s="84" t="s">
        <v>418</v>
      </c>
      <c r="B15" s="85" t="s">
        <v>411</v>
      </c>
      <c r="C15" s="85">
        <v>0</v>
      </c>
      <c r="D15" s="85" t="s">
        <v>412</v>
      </c>
      <c r="E15" s="85">
        <v>1</v>
      </c>
      <c r="F15" s="85" t="s">
        <v>415</v>
      </c>
      <c r="G15" s="85" t="s">
        <v>992</v>
      </c>
      <c r="H15" s="85" t="s">
        <v>416</v>
      </c>
      <c r="I15" s="85">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00" bestFit="1" customWidth="1"/>
    <col min="2" max="2" width="8.375" style="113" bestFit="1" customWidth="1"/>
    <col min="3" max="3" width="15.75" style="110" customWidth="1"/>
    <col min="4" max="4" width="60.625" style="101" customWidth="1"/>
    <col min="5" max="5" width="60.625" style="114" customWidth="1"/>
    <col min="6" max="16384" width="73.375" style="100"/>
  </cols>
  <sheetData>
    <row r="1" spans="1:5" s="98" customFormat="1" ht="24.75" customHeight="1">
      <c r="A1" s="98" t="s">
        <v>908</v>
      </c>
      <c r="B1" s="98" t="s">
        <v>909</v>
      </c>
      <c r="C1" s="99" t="s">
        <v>910</v>
      </c>
      <c r="D1" s="99" t="s">
        <v>66</v>
      </c>
      <c r="E1" s="99" t="s">
        <v>67</v>
      </c>
    </row>
    <row r="2" spans="1:5" ht="60">
      <c r="A2" s="100" t="s">
        <v>1024</v>
      </c>
      <c r="B2" s="113">
        <v>1</v>
      </c>
      <c r="D2" s="101" t="s">
        <v>911</v>
      </c>
      <c r="E2" s="114" t="s">
        <v>587</v>
      </c>
    </row>
    <row r="3" spans="1:5" ht="112.5" customHeight="1">
      <c r="A3" s="102">
        <v>450</v>
      </c>
      <c r="B3" s="113">
        <v>2</v>
      </c>
      <c r="D3" s="101" t="s">
        <v>514</v>
      </c>
      <c r="E3" s="114" t="s">
        <v>912</v>
      </c>
    </row>
    <row r="4" spans="1:5" ht="48">
      <c r="B4" s="113">
        <v>3</v>
      </c>
      <c r="D4" s="101" t="s">
        <v>913</v>
      </c>
      <c r="E4" s="114" t="s">
        <v>588</v>
      </c>
    </row>
    <row r="5" spans="1:5" ht="48">
      <c r="B5" s="113">
        <v>4</v>
      </c>
      <c r="D5" s="101" t="s">
        <v>914</v>
      </c>
      <c r="E5" s="114" t="s">
        <v>589</v>
      </c>
    </row>
    <row r="6" spans="1:5" ht="60">
      <c r="B6" s="113">
        <v>5</v>
      </c>
      <c r="D6" s="101" t="s">
        <v>915</v>
      </c>
      <c r="E6" s="114" t="s">
        <v>590</v>
      </c>
    </row>
    <row r="7" spans="1:5" ht="36">
      <c r="B7" s="113">
        <v>6</v>
      </c>
      <c r="D7" s="101" t="s">
        <v>916</v>
      </c>
      <c r="E7" s="114" t="s">
        <v>591</v>
      </c>
    </row>
    <row r="8" spans="1:5">
      <c r="B8" s="113">
        <v>7</v>
      </c>
      <c r="D8" s="101" t="s">
        <v>902</v>
      </c>
      <c r="E8" s="114" t="s">
        <v>917</v>
      </c>
    </row>
    <row r="9" spans="1:5">
      <c r="B9" s="113">
        <v>101</v>
      </c>
      <c r="D9" s="101" t="s">
        <v>68</v>
      </c>
      <c r="E9" s="114" t="s">
        <v>592</v>
      </c>
    </row>
    <row r="10" spans="1:5">
      <c r="B10" s="113">
        <v>102</v>
      </c>
      <c r="D10" s="101" t="s">
        <v>69</v>
      </c>
      <c r="E10" s="114" t="s">
        <v>593</v>
      </c>
    </row>
    <row r="11" spans="1:5">
      <c r="B11" s="113">
        <v>103</v>
      </c>
      <c r="D11" s="101" t="s">
        <v>70</v>
      </c>
      <c r="E11" s="114" t="s">
        <v>594</v>
      </c>
    </row>
    <row r="12" spans="1:5">
      <c r="B12" s="113">
        <v>104</v>
      </c>
      <c r="D12" s="101" t="s">
        <v>71</v>
      </c>
      <c r="E12" s="114" t="s">
        <v>595</v>
      </c>
    </row>
    <row r="13" spans="1:5">
      <c r="B13" s="113">
        <v>105</v>
      </c>
      <c r="D13" s="101" t="s">
        <v>72</v>
      </c>
      <c r="E13" s="114" t="s">
        <v>596</v>
      </c>
    </row>
    <row r="14" spans="1:5">
      <c r="B14" s="113">
        <v>106</v>
      </c>
      <c r="D14" s="101" t="s">
        <v>432</v>
      </c>
      <c r="E14" s="114" t="s">
        <v>597</v>
      </c>
    </row>
    <row r="15" spans="1:5" ht="36">
      <c r="B15" s="113">
        <v>107</v>
      </c>
      <c r="D15" s="101" t="s">
        <v>433</v>
      </c>
      <c r="E15" s="114" t="s">
        <v>598</v>
      </c>
    </row>
    <row r="16" spans="1:5" ht="36">
      <c r="B16" s="113">
        <v>108</v>
      </c>
      <c r="D16" s="101" t="s">
        <v>434</v>
      </c>
      <c r="E16" s="114" t="s">
        <v>599</v>
      </c>
    </row>
    <row r="17" spans="1:6">
      <c r="B17" s="113">
        <v>109</v>
      </c>
      <c r="D17" s="101" t="s">
        <v>73</v>
      </c>
      <c r="E17" s="114" t="s">
        <v>517</v>
      </c>
    </row>
    <row r="18" spans="1:6">
      <c r="B18" s="113">
        <v>110</v>
      </c>
      <c r="D18" s="101" t="s">
        <v>74</v>
      </c>
      <c r="E18" s="114" t="s">
        <v>600</v>
      </c>
    </row>
    <row r="19" spans="1:6">
      <c r="B19" s="113">
        <v>111</v>
      </c>
      <c r="D19" s="101" t="s">
        <v>75</v>
      </c>
      <c r="E19" s="114" t="s">
        <v>601</v>
      </c>
    </row>
    <row r="20" spans="1:6">
      <c r="A20" s="103"/>
      <c r="B20" s="113">
        <v>112</v>
      </c>
      <c r="C20" s="112" t="s">
        <v>918</v>
      </c>
      <c r="D20" s="102" t="s">
        <v>919</v>
      </c>
      <c r="E20" s="102" t="s">
        <v>515</v>
      </c>
      <c r="F20" s="104"/>
    </row>
    <row r="21" spans="1:6">
      <c r="B21" s="113">
        <v>113</v>
      </c>
      <c r="D21" s="101" t="s">
        <v>76</v>
      </c>
      <c r="E21" s="114" t="s">
        <v>518</v>
      </c>
    </row>
    <row r="22" spans="1:6">
      <c r="B22" s="113">
        <v>114</v>
      </c>
      <c r="D22" s="101" t="s">
        <v>77</v>
      </c>
      <c r="E22" s="114" t="s">
        <v>602</v>
      </c>
    </row>
    <row r="23" spans="1:6">
      <c r="B23" s="113">
        <v>115</v>
      </c>
      <c r="D23" s="101" t="s">
        <v>78</v>
      </c>
      <c r="E23" s="114" t="s">
        <v>603</v>
      </c>
    </row>
    <row r="24" spans="1:6" ht="24">
      <c r="B24" s="113">
        <v>116</v>
      </c>
      <c r="D24" s="101" t="s">
        <v>435</v>
      </c>
      <c r="E24" s="114" t="s">
        <v>604</v>
      </c>
    </row>
    <row r="25" spans="1:6">
      <c r="B25" s="113">
        <v>117</v>
      </c>
      <c r="D25" s="101" t="s">
        <v>436</v>
      </c>
      <c r="E25" s="114" t="s">
        <v>605</v>
      </c>
    </row>
    <row r="26" spans="1:6" ht="24">
      <c r="B26" s="113">
        <v>118</v>
      </c>
      <c r="D26" s="101" t="s">
        <v>79</v>
      </c>
      <c r="E26" s="114" t="s">
        <v>606</v>
      </c>
    </row>
    <row r="27" spans="1:6">
      <c r="B27" s="113">
        <v>119</v>
      </c>
      <c r="D27" s="101" t="s">
        <v>80</v>
      </c>
      <c r="E27" s="114" t="s">
        <v>607</v>
      </c>
    </row>
    <row r="28" spans="1:6">
      <c r="B28" s="113">
        <v>120</v>
      </c>
      <c r="D28" s="101" t="s">
        <v>430</v>
      </c>
      <c r="E28" s="114" t="s">
        <v>608</v>
      </c>
    </row>
    <row r="29" spans="1:6">
      <c r="B29" s="113">
        <v>121</v>
      </c>
      <c r="D29" s="101" t="s">
        <v>81</v>
      </c>
      <c r="E29" s="114" t="s">
        <v>609</v>
      </c>
    </row>
    <row r="30" spans="1:6">
      <c r="B30" s="113">
        <v>122</v>
      </c>
      <c r="D30" s="101" t="s">
        <v>82</v>
      </c>
      <c r="E30" s="114" t="s">
        <v>610</v>
      </c>
    </row>
    <row r="31" spans="1:6">
      <c r="B31" s="113">
        <v>123</v>
      </c>
      <c r="D31" s="101" t="s">
        <v>83</v>
      </c>
      <c r="E31" s="114" t="s">
        <v>611</v>
      </c>
    </row>
    <row r="32" spans="1:6">
      <c r="B32" s="113">
        <v>124</v>
      </c>
      <c r="D32" s="101" t="s">
        <v>84</v>
      </c>
      <c r="E32" s="114" t="s">
        <v>612</v>
      </c>
    </row>
    <row r="33" spans="2:5" ht="24">
      <c r="B33" s="113">
        <v>125</v>
      </c>
      <c r="D33" s="101" t="s">
        <v>431</v>
      </c>
      <c r="E33" s="114" t="s">
        <v>613</v>
      </c>
    </row>
    <row r="34" spans="2:5">
      <c r="B34" s="113">
        <v>126</v>
      </c>
      <c r="D34" s="101" t="s">
        <v>85</v>
      </c>
      <c r="E34" s="114" t="s">
        <v>614</v>
      </c>
    </row>
    <row r="35" spans="2:5">
      <c r="B35" s="113">
        <v>127</v>
      </c>
      <c r="D35" s="101" t="s">
        <v>86</v>
      </c>
      <c r="E35" s="114" t="s">
        <v>615</v>
      </c>
    </row>
    <row r="36" spans="2:5">
      <c r="B36" s="113">
        <v>128</v>
      </c>
      <c r="D36" s="101" t="s">
        <v>437</v>
      </c>
      <c r="E36" s="114" t="s">
        <v>616</v>
      </c>
    </row>
    <row r="37" spans="2:5">
      <c r="B37" s="113">
        <v>129</v>
      </c>
      <c r="D37" s="101" t="s">
        <v>87</v>
      </c>
      <c r="E37" s="114" t="s">
        <v>617</v>
      </c>
    </row>
    <row r="38" spans="2:5">
      <c r="B38" s="113">
        <v>130</v>
      </c>
      <c r="D38" s="101" t="s">
        <v>88</v>
      </c>
      <c r="E38" s="114" t="s">
        <v>519</v>
      </c>
    </row>
    <row r="39" spans="2:5">
      <c r="B39" s="113">
        <v>131</v>
      </c>
      <c r="D39" s="101" t="s">
        <v>89</v>
      </c>
      <c r="E39" s="114" t="s">
        <v>520</v>
      </c>
    </row>
    <row r="40" spans="2:5">
      <c r="B40" s="113">
        <v>132</v>
      </c>
      <c r="D40" s="106" t="s">
        <v>438</v>
      </c>
      <c r="E40" s="107">
        <v>43435</v>
      </c>
    </row>
    <row r="41" spans="2:5">
      <c r="B41" s="113">
        <v>133</v>
      </c>
      <c r="D41" s="106" t="s">
        <v>438</v>
      </c>
      <c r="E41" s="107">
        <v>43435</v>
      </c>
    </row>
    <row r="42" spans="2:5">
      <c r="B42" s="113">
        <v>134</v>
      </c>
      <c r="D42" s="106" t="s">
        <v>439</v>
      </c>
      <c r="E42" s="107">
        <v>43465</v>
      </c>
    </row>
    <row r="43" spans="2:5">
      <c r="B43" s="113">
        <v>135</v>
      </c>
      <c r="D43" s="106" t="s">
        <v>439</v>
      </c>
      <c r="E43" s="107">
        <v>43465</v>
      </c>
    </row>
    <row r="44" spans="2:5">
      <c r="B44" s="113">
        <v>136</v>
      </c>
      <c r="D44" s="101" t="s">
        <v>90</v>
      </c>
      <c r="E44" s="114" t="s">
        <v>90</v>
      </c>
    </row>
    <row r="45" spans="2:5">
      <c r="B45" s="113">
        <v>137</v>
      </c>
      <c r="D45" s="101" t="s">
        <v>91</v>
      </c>
      <c r="E45" s="114" t="s">
        <v>618</v>
      </c>
    </row>
    <row r="46" spans="2:5">
      <c r="B46" s="113">
        <v>138</v>
      </c>
      <c r="C46" s="110" t="s">
        <v>920</v>
      </c>
      <c r="D46" s="101" t="s">
        <v>921</v>
      </c>
      <c r="E46" s="120" t="s">
        <v>922</v>
      </c>
    </row>
    <row r="47" spans="2:5">
      <c r="B47" s="113">
        <v>139</v>
      </c>
      <c r="D47" s="101" t="s">
        <v>92</v>
      </c>
      <c r="E47" s="114" t="s">
        <v>619</v>
      </c>
    </row>
    <row r="48" spans="2:5">
      <c r="B48" s="113">
        <v>140</v>
      </c>
      <c r="D48" s="101" t="s">
        <v>93</v>
      </c>
      <c r="E48" s="114" t="s">
        <v>620</v>
      </c>
    </row>
    <row r="49" spans="1:6">
      <c r="B49" s="113">
        <v>141</v>
      </c>
      <c r="D49" s="101" t="s">
        <v>440</v>
      </c>
      <c r="E49" s="114" t="s">
        <v>521</v>
      </c>
    </row>
    <row r="50" spans="1:6">
      <c r="B50" s="113">
        <v>142</v>
      </c>
      <c r="D50" s="101" t="s">
        <v>94</v>
      </c>
      <c r="E50" s="114" t="s">
        <v>522</v>
      </c>
    </row>
    <row r="51" spans="1:6">
      <c r="B51" s="113">
        <v>143</v>
      </c>
      <c r="D51" s="101" t="s">
        <v>95</v>
      </c>
      <c r="E51" s="114" t="s">
        <v>621</v>
      </c>
    </row>
    <row r="52" spans="1:6">
      <c r="B52" s="113">
        <v>144</v>
      </c>
      <c r="D52" s="101" t="s">
        <v>96</v>
      </c>
      <c r="E52" s="114" t="s">
        <v>622</v>
      </c>
    </row>
    <row r="53" spans="1:6" ht="24">
      <c r="B53" s="113">
        <v>145</v>
      </c>
      <c r="D53" s="101" t="s">
        <v>97</v>
      </c>
      <c r="E53" s="114" t="s">
        <v>623</v>
      </c>
    </row>
    <row r="54" spans="1:6">
      <c r="B54" s="113">
        <v>146</v>
      </c>
      <c r="D54" s="101" t="s">
        <v>98</v>
      </c>
      <c r="E54" s="114" t="s">
        <v>624</v>
      </c>
    </row>
    <row r="55" spans="1:6">
      <c r="B55" s="113">
        <v>147</v>
      </c>
      <c r="D55" s="101" t="s">
        <v>441</v>
      </c>
      <c r="E55" s="114" t="s">
        <v>523</v>
      </c>
    </row>
    <row r="56" spans="1:6">
      <c r="B56" s="113">
        <v>148</v>
      </c>
      <c r="D56" s="101" t="s">
        <v>99</v>
      </c>
      <c r="E56" s="114" t="s">
        <v>524</v>
      </c>
    </row>
    <row r="57" spans="1:6">
      <c r="B57" s="113">
        <v>149</v>
      </c>
      <c r="D57" s="101" t="s">
        <v>100</v>
      </c>
      <c r="E57" s="114" t="s">
        <v>625</v>
      </c>
    </row>
    <row r="58" spans="1:6">
      <c r="B58" s="113">
        <v>150</v>
      </c>
      <c r="D58" s="101" t="s">
        <v>101</v>
      </c>
      <c r="E58" s="114" t="s">
        <v>626</v>
      </c>
    </row>
    <row r="59" spans="1:6" ht="24">
      <c r="B59" s="113">
        <v>151</v>
      </c>
      <c r="D59" s="101" t="s">
        <v>102</v>
      </c>
      <c r="E59" s="114" t="s">
        <v>627</v>
      </c>
    </row>
    <row r="60" spans="1:6">
      <c r="B60" s="113">
        <v>152</v>
      </c>
      <c r="D60" s="101" t="s">
        <v>442</v>
      </c>
      <c r="E60" s="114" t="s">
        <v>628</v>
      </c>
    </row>
    <row r="61" spans="1:6">
      <c r="A61" s="105"/>
      <c r="B61" s="113">
        <v>153</v>
      </c>
      <c r="C61" s="112" t="s">
        <v>509</v>
      </c>
      <c r="D61" s="102" t="s">
        <v>923</v>
      </c>
      <c r="E61" s="102" t="s">
        <v>924</v>
      </c>
      <c r="F61" s="104"/>
    </row>
    <row r="62" spans="1:6" ht="12.75">
      <c r="B62" s="113">
        <v>154</v>
      </c>
      <c r="D62" s="101" t="s">
        <v>103</v>
      </c>
      <c r="E62" s="122" t="s">
        <v>906</v>
      </c>
    </row>
    <row r="63" spans="1:6" ht="12.75">
      <c r="B63" s="113">
        <v>155</v>
      </c>
      <c r="D63" s="101" t="s">
        <v>104</v>
      </c>
      <c r="E63" s="122" t="s">
        <v>925</v>
      </c>
    </row>
    <row r="64" spans="1:6">
      <c r="A64" s="105"/>
      <c r="B64" s="113">
        <v>156</v>
      </c>
      <c r="C64" s="112" t="s">
        <v>926</v>
      </c>
      <c r="D64" s="102" t="s">
        <v>927</v>
      </c>
      <c r="E64" s="102" t="s">
        <v>928</v>
      </c>
      <c r="F64" s="104"/>
    </row>
    <row r="65" spans="1:6">
      <c r="A65" s="105"/>
      <c r="B65" s="113">
        <v>157</v>
      </c>
      <c r="C65" s="112" t="s">
        <v>509</v>
      </c>
      <c r="D65" s="102" t="s">
        <v>929</v>
      </c>
      <c r="E65" s="102" t="s">
        <v>930</v>
      </c>
      <c r="F65" s="104"/>
    </row>
    <row r="66" spans="1:6">
      <c r="A66" s="105"/>
      <c r="B66" s="113">
        <v>158</v>
      </c>
      <c r="C66" s="112" t="s">
        <v>509</v>
      </c>
      <c r="D66" s="102" t="s">
        <v>931</v>
      </c>
      <c r="E66" s="102" t="s">
        <v>932</v>
      </c>
      <c r="F66" s="104"/>
    </row>
    <row r="67" spans="1:6">
      <c r="A67" s="105"/>
      <c r="B67" s="113">
        <v>159</v>
      </c>
      <c r="C67" s="112" t="s">
        <v>926</v>
      </c>
      <c r="D67" s="102" t="s">
        <v>903</v>
      </c>
      <c r="E67" s="102" t="s">
        <v>933</v>
      </c>
      <c r="F67" s="104"/>
    </row>
    <row r="68" spans="1:6">
      <c r="B68" s="113">
        <v>160</v>
      </c>
      <c r="D68" s="101" t="s">
        <v>105</v>
      </c>
      <c r="E68" s="114" t="s">
        <v>934</v>
      </c>
    </row>
    <row r="69" spans="1:6">
      <c r="B69" s="113">
        <v>161</v>
      </c>
      <c r="D69" s="101" t="s">
        <v>106</v>
      </c>
      <c r="E69" s="114" t="s">
        <v>935</v>
      </c>
    </row>
    <row r="70" spans="1:6">
      <c r="B70" s="113">
        <v>162</v>
      </c>
      <c r="D70" s="101" t="s">
        <v>936</v>
      </c>
      <c r="E70" s="114" t="s">
        <v>904</v>
      </c>
    </row>
    <row r="71" spans="1:6">
      <c r="B71" s="113">
        <v>163</v>
      </c>
      <c r="D71" s="101" t="s">
        <v>107</v>
      </c>
      <c r="E71" s="114" t="s">
        <v>937</v>
      </c>
    </row>
    <row r="72" spans="1:6">
      <c r="B72" s="113">
        <v>164</v>
      </c>
      <c r="D72" s="101" t="s">
        <v>108</v>
      </c>
      <c r="E72" s="114" t="s">
        <v>629</v>
      </c>
    </row>
    <row r="73" spans="1:6">
      <c r="B73" s="113">
        <v>165</v>
      </c>
      <c r="D73" s="101" t="s">
        <v>109</v>
      </c>
      <c r="E73" s="114" t="s">
        <v>630</v>
      </c>
    </row>
    <row r="74" spans="1:6">
      <c r="B74" s="113">
        <v>166</v>
      </c>
      <c r="D74" s="101" t="s">
        <v>110</v>
      </c>
      <c r="E74" s="114" t="s">
        <v>631</v>
      </c>
    </row>
    <row r="75" spans="1:6" ht="24">
      <c r="B75" s="113">
        <v>167</v>
      </c>
      <c r="D75" s="101" t="s">
        <v>111</v>
      </c>
      <c r="E75" s="114" t="s">
        <v>632</v>
      </c>
    </row>
    <row r="76" spans="1:6">
      <c r="B76" s="113">
        <v>168</v>
      </c>
      <c r="D76" s="101" t="s">
        <v>112</v>
      </c>
      <c r="E76" s="114" t="s">
        <v>633</v>
      </c>
    </row>
    <row r="77" spans="1:6">
      <c r="B77" s="113">
        <v>169</v>
      </c>
      <c r="D77" s="101" t="s">
        <v>113</v>
      </c>
      <c r="E77" s="114" t="s">
        <v>634</v>
      </c>
    </row>
    <row r="78" spans="1:6">
      <c r="B78" s="113">
        <v>170</v>
      </c>
      <c r="D78" s="101" t="s">
        <v>114</v>
      </c>
      <c r="E78" s="114" t="s">
        <v>635</v>
      </c>
    </row>
    <row r="79" spans="1:6">
      <c r="B79" s="113">
        <v>171</v>
      </c>
      <c r="D79" s="101" t="s">
        <v>443</v>
      </c>
      <c r="E79" s="114" t="s">
        <v>636</v>
      </c>
    </row>
    <row r="80" spans="1:6">
      <c r="B80" s="113">
        <v>172</v>
      </c>
      <c r="D80" s="101" t="s">
        <v>115</v>
      </c>
      <c r="E80" s="114" t="s">
        <v>637</v>
      </c>
    </row>
    <row r="81" spans="2:5">
      <c r="B81" s="113">
        <v>173</v>
      </c>
      <c r="D81" s="101" t="s">
        <v>116</v>
      </c>
      <c r="E81" s="114" t="s">
        <v>638</v>
      </c>
    </row>
    <row r="82" spans="2:5">
      <c r="B82" s="113">
        <v>174</v>
      </c>
      <c r="D82" s="101" t="s">
        <v>117</v>
      </c>
      <c r="E82" s="114" t="s">
        <v>639</v>
      </c>
    </row>
    <row r="83" spans="2:5">
      <c r="B83" s="113">
        <v>175</v>
      </c>
      <c r="D83" s="101" t="s">
        <v>118</v>
      </c>
      <c r="E83" s="114" t="s">
        <v>640</v>
      </c>
    </row>
    <row r="84" spans="2:5">
      <c r="B84" s="113">
        <v>176</v>
      </c>
      <c r="D84" s="101" t="s">
        <v>119</v>
      </c>
      <c r="E84" s="114" t="s">
        <v>641</v>
      </c>
    </row>
    <row r="85" spans="2:5">
      <c r="B85" s="113">
        <v>177</v>
      </c>
      <c r="D85" s="101" t="s">
        <v>120</v>
      </c>
      <c r="E85" s="114" t="s">
        <v>525</v>
      </c>
    </row>
    <row r="86" spans="2:5">
      <c r="B86" s="113">
        <v>178</v>
      </c>
      <c r="D86" s="101" t="s">
        <v>121</v>
      </c>
      <c r="E86" s="114" t="s">
        <v>526</v>
      </c>
    </row>
    <row r="87" spans="2:5">
      <c r="B87" s="113">
        <v>179</v>
      </c>
      <c r="D87" s="101" t="s">
        <v>122</v>
      </c>
      <c r="E87" s="114" t="s">
        <v>642</v>
      </c>
    </row>
    <row r="88" spans="2:5">
      <c r="B88" s="113">
        <v>180</v>
      </c>
      <c r="D88" s="101" t="s">
        <v>444</v>
      </c>
      <c r="E88" s="114" t="s">
        <v>643</v>
      </c>
    </row>
    <row r="89" spans="2:5" ht="24">
      <c r="B89" s="113">
        <v>181</v>
      </c>
      <c r="D89" s="101" t="s">
        <v>445</v>
      </c>
      <c r="E89" s="114" t="s">
        <v>644</v>
      </c>
    </row>
    <row r="90" spans="2:5" ht="24">
      <c r="B90" s="113">
        <v>182</v>
      </c>
      <c r="D90" s="101" t="s">
        <v>123</v>
      </c>
      <c r="E90" s="114" t="s">
        <v>645</v>
      </c>
    </row>
    <row r="91" spans="2:5">
      <c r="B91" s="113">
        <v>183</v>
      </c>
      <c r="D91" s="101" t="s">
        <v>124</v>
      </c>
      <c r="E91" s="114" t="s">
        <v>125</v>
      </c>
    </row>
    <row r="92" spans="2:5">
      <c r="B92" s="113">
        <v>184</v>
      </c>
      <c r="D92" s="101" t="s">
        <v>446</v>
      </c>
      <c r="E92" s="114" t="s">
        <v>527</v>
      </c>
    </row>
    <row r="93" spans="2:5">
      <c r="B93" s="113">
        <v>185</v>
      </c>
      <c r="D93" s="101" t="s">
        <v>447</v>
      </c>
      <c r="E93" s="114" t="s">
        <v>528</v>
      </c>
    </row>
    <row r="94" spans="2:5">
      <c r="B94" s="113">
        <v>186</v>
      </c>
      <c r="D94" s="101" t="s">
        <v>448</v>
      </c>
      <c r="E94" s="114" t="s">
        <v>938</v>
      </c>
    </row>
    <row r="95" spans="2:5">
      <c r="B95" s="113">
        <v>187</v>
      </c>
      <c r="D95" s="101" t="s">
        <v>126</v>
      </c>
      <c r="E95" s="114" t="s">
        <v>646</v>
      </c>
    </row>
    <row r="96" spans="2:5" ht="24">
      <c r="B96" s="113">
        <v>188</v>
      </c>
      <c r="D96" s="101" t="s">
        <v>127</v>
      </c>
      <c r="E96" s="114" t="s">
        <v>647</v>
      </c>
    </row>
    <row r="97" spans="2:5" ht="24">
      <c r="B97" s="113">
        <v>189</v>
      </c>
      <c r="D97" s="101" t="s">
        <v>128</v>
      </c>
      <c r="E97" s="114" t="s">
        <v>648</v>
      </c>
    </row>
    <row r="98" spans="2:5">
      <c r="B98" s="113">
        <v>190</v>
      </c>
      <c r="D98" s="101" t="s">
        <v>129</v>
      </c>
      <c r="E98" s="114" t="s">
        <v>129</v>
      </c>
    </row>
    <row r="99" spans="2:5">
      <c r="B99" s="113">
        <v>191</v>
      </c>
      <c r="D99" s="101" t="s">
        <v>130</v>
      </c>
      <c r="E99" s="114" t="s">
        <v>529</v>
      </c>
    </row>
    <row r="100" spans="2:5">
      <c r="B100" s="113">
        <v>192</v>
      </c>
      <c r="D100" s="101" t="s">
        <v>131</v>
      </c>
      <c r="E100" s="114" t="s">
        <v>530</v>
      </c>
    </row>
    <row r="101" spans="2:5">
      <c r="B101" s="113">
        <v>193</v>
      </c>
      <c r="D101" s="101" t="s">
        <v>132</v>
      </c>
      <c r="E101" s="114" t="s">
        <v>531</v>
      </c>
    </row>
    <row r="102" spans="2:5">
      <c r="B102" s="113">
        <v>194</v>
      </c>
      <c r="D102" s="101" t="s">
        <v>449</v>
      </c>
      <c r="E102" s="114" t="s">
        <v>649</v>
      </c>
    </row>
    <row r="103" spans="2:5">
      <c r="B103" s="113">
        <v>195</v>
      </c>
      <c r="D103" s="101" t="s">
        <v>133</v>
      </c>
      <c r="E103" s="114" t="s">
        <v>650</v>
      </c>
    </row>
    <row r="104" spans="2:5">
      <c r="B104" s="113">
        <v>196</v>
      </c>
      <c r="D104" s="101" t="s">
        <v>450</v>
      </c>
      <c r="E104" s="114" t="s">
        <v>651</v>
      </c>
    </row>
    <row r="105" spans="2:5">
      <c r="B105" s="113">
        <v>197</v>
      </c>
      <c r="D105" s="101" t="s">
        <v>134</v>
      </c>
      <c r="E105" s="114" t="s">
        <v>652</v>
      </c>
    </row>
    <row r="106" spans="2:5">
      <c r="B106" s="113">
        <v>198</v>
      </c>
      <c r="D106" s="101" t="s">
        <v>135</v>
      </c>
      <c r="E106" s="114" t="s">
        <v>653</v>
      </c>
    </row>
    <row r="107" spans="2:5">
      <c r="B107" s="113">
        <v>199</v>
      </c>
      <c r="D107" s="101" t="s">
        <v>136</v>
      </c>
      <c r="E107" s="114" t="s">
        <v>654</v>
      </c>
    </row>
    <row r="108" spans="2:5">
      <c r="B108" s="113">
        <v>200</v>
      </c>
      <c r="D108" s="101" t="s">
        <v>451</v>
      </c>
      <c r="E108" s="114" t="s">
        <v>655</v>
      </c>
    </row>
    <row r="109" spans="2:5">
      <c r="B109" s="113">
        <v>201</v>
      </c>
      <c r="D109" s="101" t="s">
        <v>137</v>
      </c>
      <c r="E109" s="114" t="s">
        <v>656</v>
      </c>
    </row>
    <row r="110" spans="2:5">
      <c r="B110" s="113">
        <v>202</v>
      </c>
      <c r="D110" s="101" t="s">
        <v>138</v>
      </c>
      <c r="E110" s="114" t="s">
        <v>657</v>
      </c>
    </row>
    <row r="111" spans="2:5">
      <c r="B111" s="113">
        <v>203</v>
      </c>
      <c r="D111" s="101" t="s">
        <v>139</v>
      </c>
      <c r="E111" s="114" t="s">
        <v>532</v>
      </c>
    </row>
    <row r="112" spans="2:5">
      <c r="B112" s="113">
        <v>204</v>
      </c>
      <c r="D112" s="101" t="s">
        <v>452</v>
      </c>
      <c r="E112" s="114" t="s">
        <v>533</v>
      </c>
    </row>
    <row r="113" spans="2:5">
      <c r="B113" s="113">
        <v>205</v>
      </c>
      <c r="D113" s="101" t="s">
        <v>453</v>
      </c>
      <c r="E113" s="114" t="s">
        <v>534</v>
      </c>
    </row>
    <row r="114" spans="2:5">
      <c r="B114" s="113">
        <v>206</v>
      </c>
      <c r="D114" s="101" t="s">
        <v>454</v>
      </c>
      <c r="E114" s="114" t="s">
        <v>658</v>
      </c>
    </row>
    <row r="115" spans="2:5">
      <c r="B115" s="113">
        <v>207</v>
      </c>
      <c r="D115" s="101" t="s">
        <v>455</v>
      </c>
      <c r="E115" s="114" t="s">
        <v>535</v>
      </c>
    </row>
    <row r="116" spans="2:5">
      <c r="B116" s="113">
        <v>208</v>
      </c>
      <c r="D116" s="101" t="s">
        <v>456</v>
      </c>
      <c r="E116" s="114" t="s">
        <v>536</v>
      </c>
    </row>
    <row r="117" spans="2:5">
      <c r="B117" s="113">
        <v>209</v>
      </c>
      <c r="D117" s="101" t="s">
        <v>140</v>
      </c>
      <c r="E117" s="114" t="s">
        <v>659</v>
      </c>
    </row>
    <row r="118" spans="2:5">
      <c r="B118" s="113">
        <v>210</v>
      </c>
      <c r="D118" s="101" t="s">
        <v>457</v>
      </c>
      <c r="E118" s="114" t="s">
        <v>660</v>
      </c>
    </row>
    <row r="119" spans="2:5">
      <c r="B119" s="113">
        <v>211</v>
      </c>
      <c r="D119" s="101" t="s">
        <v>141</v>
      </c>
      <c r="E119" s="114" t="s">
        <v>537</v>
      </c>
    </row>
    <row r="120" spans="2:5">
      <c r="B120" s="113">
        <v>212</v>
      </c>
      <c r="D120" s="101" t="s">
        <v>142</v>
      </c>
      <c r="E120" s="114" t="s">
        <v>661</v>
      </c>
    </row>
    <row r="121" spans="2:5">
      <c r="B121" s="113">
        <v>213</v>
      </c>
      <c r="D121" s="101" t="s">
        <v>143</v>
      </c>
      <c r="E121" s="114" t="s">
        <v>662</v>
      </c>
    </row>
    <row r="122" spans="2:5">
      <c r="B122" s="113">
        <v>214</v>
      </c>
      <c r="D122" s="101" t="s">
        <v>458</v>
      </c>
      <c r="E122" s="114" t="s">
        <v>663</v>
      </c>
    </row>
    <row r="123" spans="2:5">
      <c r="B123" s="113">
        <v>215</v>
      </c>
      <c r="D123" s="101" t="s">
        <v>459</v>
      </c>
      <c r="E123" s="114" t="s">
        <v>664</v>
      </c>
    </row>
    <row r="124" spans="2:5">
      <c r="B124" s="113">
        <v>216</v>
      </c>
      <c r="D124" s="101" t="s">
        <v>988</v>
      </c>
      <c r="E124" s="114" t="s">
        <v>665</v>
      </c>
    </row>
    <row r="125" spans="2:5">
      <c r="B125" s="113">
        <v>217</v>
      </c>
      <c r="D125" s="101" t="s">
        <v>460</v>
      </c>
      <c r="E125" s="114" t="s">
        <v>666</v>
      </c>
    </row>
    <row r="126" spans="2:5">
      <c r="B126" s="113">
        <v>218</v>
      </c>
      <c r="D126" s="101" t="s">
        <v>461</v>
      </c>
      <c r="E126" s="114" t="s">
        <v>667</v>
      </c>
    </row>
    <row r="127" spans="2:5">
      <c r="B127" s="113">
        <v>219</v>
      </c>
      <c r="D127" s="101" t="s">
        <v>462</v>
      </c>
      <c r="E127" s="114" t="s">
        <v>668</v>
      </c>
    </row>
    <row r="128" spans="2:5">
      <c r="B128" s="113">
        <v>220</v>
      </c>
      <c r="D128" s="101" t="s">
        <v>463</v>
      </c>
      <c r="E128" s="114" t="s">
        <v>669</v>
      </c>
    </row>
    <row r="129" spans="2:5">
      <c r="B129" s="113">
        <v>221</v>
      </c>
      <c r="D129" s="101" t="s">
        <v>144</v>
      </c>
      <c r="E129" s="114" t="s">
        <v>670</v>
      </c>
    </row>
    <row r="130" spans="2:5">
      <c r="B130" s="113">
        <v>222</v>
      </c>
      <c r="D130" s="101" t="s">
        <v>145</v>
      </c>
      <c r="E130" s="114" t="s">
        <v>671</v>
      </c>
    </row>
    <row r="131" spans="2:5">
      <c r="B131" s="113">
        <v>223</v>
      </c>
      <c r="D131" s="101" t="s">
        <v>146</v>
      </c>
      <c r="E131" s="114" t="s">
        <v>672</v>
      </c>
    </row>
    <row r="132" spans="2:5">
      <c r="B132" s="113">
        <v>224</v>
      </c>
      <c r="D132" s="101" t="s">
        <v>147</v>
      </c>
      <c r="E132" s="114" t="s">
        <v>673</v>
      </c>
    </row>
    <row r="133" spans="2:5">
      <c r="B133" s="113">
        <v>225</v>
      </c>
      <c r="D133" s="101" t="s">
        <v>464</v>
      </c>
      <c r="E133" s="114" t="s">
        <v>674</v>
      </c>
    </row>
    <row r="134" spans="2:5">
      <c r="B134" s="113">
        <v>226</v>
      </c>
      <c r="D134" s="101" t="s">
        <v>465</v>
      </c>
      <c r="E134" s="114" t="s">
        <v>675</v>
      </c>
    </row>
    <row r="135" spans="2:5">
      <c r="B135" s="113">
        <v>227</v>
      </c>
      <c r="D135" s="101" t="s">
        <v>466</v>
      </c>
      <c r="E135" s="114" t="s">
        <v>676</v>
      </c>
    </row>
    <row r="136" spans="2:5">
      <c r="B136" s="113">
        <v>228</v>
      </c>
      <c r="D136" s="101" t="s">
        <v>148</v>
      </c>
      <c r="E136" s="114" t="s">
        <v>677</v>
      </c>
    </row>
    <row r="137" spans="2:5">
      <c r="B137" s="113">
        <v>229</v>
      </c>
      <c r="D137" s="101" t="s">
        <v>149</v>
      </c>
      <c r="E137" s="114" t="s">
        <v>678</v>
      </c>
    </row>
    <row r="138" spans="2:5">
      <c r="B138" s="113">
        <v>230</v>
      </c>
      <c r="D138" s="101" t="s">
        <v>467</v>
      </c>
      <c r="E138" s="114" t="s">
        <v>538</v>
      </c>
    </row>
    <row r="139" spans="2:5">
      <c r="B139" s="113">
        <v>231</v>
      </c>
      <c r="D139" s="101" t="s">
        <v>150</v>
      </c>
      <c r="E139" s="114" t="s">
        <v>679</v>
      </c>
    </row>
    <row r="140" spans="2:5" ht="36">
      <c r="B140" s="113">
        <v>232</v>
      </c>
      <c r="D140" s="101" t="s">
        <v>151</v>
      </c>
      <c r="E140" s="114" t="s">
        <v>680</v>
      </c>
    </row>
    <row r="141" spans="2:5">
      <c r="B141" s="113">
        <v>233</v>
      </c>
      <c r="D141" s="101" t="s">
        <v>152</v>
      </c>
      <c r="E141" s="114" t="s">
        <v>681</v>
      </c>
    </row>
    <row r="142" spans="2:5">
      <c r="B142" s="113">
        <v>234</v>
      </c>
      <c r="D142" s="101" t="s">
        <v>153</v>
      </c>
      <c r="E142" s="114" t="s">
        <v>939</v>
      </c>
    </row>
    <row r="143" spans="2:5">
      <c r="B143" s="113">
        <v>235</v>
      </c>
      <c r="D143" s="101" t="s">
        <v>154</v>
      </c>
      <c r="E143" s="114" t="s">
        <v>539</v>
      </c>
    </row>
    <row r="144" spans="2:5">
      <c r="B144" s="113">
        <v>236</v>
      </c>
      <c r="D144" s="101" t="s">
        <v>155</v>
      </c>
      <c r="E144" s="114" t="s">
        <v>682</v>
      </c>
    </row>
    <row r="145" spans="2:5">
      <c r="B145" s="113">
        <v>237</v>
      </c>
      <c r="D145" s="101" t="s">
        <v>156</v>
      </c>
      <c r="E145" s="114" t="s">
        <v>540</v>
      </c>
    </row>
    <row r="146" spans="2:5">
      <c r="B146" s="113">
        <v>238</v>
      </c>
      <c r="D146" s="101" t="s">
        <v>157</v>
      </c>
      <c r="E146" s="114" t="s">
        <v>683</v>
      </c>
    </row>
    <row r="147" spans="2:5">
      <c r="B147" s="113">
        <v>239</v>
      </c>
      <c r="D147" s="101" t="s">
        <v>158</v>
      </c>
      <c r="E147" s="114" t="s">
        <v>684</v>
      </c>
    </row>
    <row r="148" spans="2:5">
      <c r="B148" s="113">
        <v>240</v>
      </c>
      <c r="D148" s="101" t="s">
        <v>159</v>
      </c>
      <c r="E148" s="114" t="s">
        <v>541</v>
      </c>
    </row>
    <row r="149" spans="2:5">
      <c r="B149" s="113">
        <v>241</v>
      </c>
      <c r="D149" s="101" t="s">
        <v>160</v>
      </c>
      <c r="E149" s="114" t="s">
        <v>542</v>
      </c>
    </row>
    <row r="150" spans="2:5">
      <c r="B150" s="113">
        <v>242</v>
      </c>
      <c r="D150" s="101" t="s">
        <v>161</v>
      </c>
      <c r="E150" s="114" t="s">
        <v>685</v>
      </c>
    </row>
    <row r="151" spans="2:5">
      <c r="B151" s="113">
        <v>243</v>
      </c>
      <c r="D151" s="101" t="s">
        <v>162</v>
      </c>
      <c r="E151" s="114" t="s">
        <v>686</v>
      </c>
    </row>
    <row r="152" spans="2:5">
      <c r="B152" s="113">
        <v>244</v>
      </c>
      <c r="D152" s="101" t="s">
        <v>163</v>
      </c>
      <c r="E152" s="114" t="s">
        <v>687</v>
      </c>
    </row>
    <row r="153" spans="2:5">
      <c r="B153" s="113">
        <v>245</v>
      </c>
      <c r="D153" s="101" t="s">
        <v>468</v>
      </c>
      <c r="E153" s="114" t="s">
        <v>688</v>
      </c>
    </row>
    <row r="154" spans="2:5">
      <c r="B154" s="113">
        <v>246</v>
      </c>
      <c r="D154" s="101" t="s">
        <v>164</v>
      </c>
      <c r="E154" s="114" t="s">
        <v>689</v>
      </c>
    </row>
    <row r="155" spans="2:5">
      <c r="B155" s="113">
        <v>247</v>
      </c>
      <c r="D155" s="101" t="s">
        <v>165</v>
      </c>
      <c r="E155" s="114" t="s">
        <v>543</v>
      </c>
    </row>
    <row r="156" spans="2:5">
      <c r="B156" s="113">
        <v>248</v>
      </c>
      <c r="D156" s="101" t="s">
        <v>166</v>
      </c>
      <c r="E156" s="114" t="s">
        <v>690</v>
      </c>
    </row>
    <row r="157" spans="2:5">
      <c r="B157" s="113">
        <v>249</v>
      </c>
      <c r="D157" s="101" t="s">
        <v>469</v>
      </c>
      <c r="E157" s="114" t="s">
        <v>691</v>
      </c>
    </row>
    <row r="158" spans="2:5">
      <c r="B158" s="113">
        <v>250</v>
      </c>
      <c r="D158" s="101" t="s">
        <v>470</v>
      </c>
      <c r="E158" s="114" t="s">
        <v>692</v>
      </c>
    </row>
    <row r="159" spans="2:5">
      <c r="B159" s="113">
        <v>251</v>
      </c>
      <c r="D159" s="101" t="s">
        <v>471</v>
      </c>
      <c r="E159" s="114" t="s">
        <v>693</v>
      </c>
    </row>
    <row r="160" spans="2:5">
      <c r="B160" s="113">
        <v>252</v>
      </c>
      <c r="D160" s="101" t="s">
        <v>472</v>
      </c>
      <c r="E160" s="114" t="s">
        <v>694</v>
      </c>
    </row>
    <row r="161" spans="2:5">
      <c r="B161" s="113">
        <v>253</v>
      </c>
      <c r="D161" s="101" t="s">
        <v>167</v>
      </c>
      <c r="E161" s="114" t="s">
        <v>940</v>
      </c>
    </row>
    <row r="162" spans="2:5" ht="24">
      <c r="B162" s="113">
        <v>254</v>
      </c>
      <c r="D162" s="101" t="s">
        <v>168</v>
      </c>
      <c r="E162" s="114" t="s">
        <v>695</v>
      </c>
    </row>
    <row r="163" spans="2:5" ht="24">
      <c r="B163" s="113">
        <v>255</v>
      </c>
      <c r="D163" s="101" t="s">
        <v>169</v>
      </c>
      <c r="E163" s="114" t="s">
        <v>696</v>
      </c>
    </row>
    <row r="164" spans="2:5" ht="24">
      <c r="B164" s="113">
        <v>256</v>
      </c>
      <c r="D164" s="101" t="s">
        <v>170</v>
      </c>
      <c r="E164" s="114" t="s">
        <v>697</v>
      </c>
    </row>
    <row r="165" spans="2:5">
      <c r="B165" s="113">
        <v>257</v>
      </c>
      <c r="D165" s="101" t="s">
        <v>171</v>
      </c>
      <c r="E165" s="114" t="s">
        <v>544</v>
      </c>
    </row>
    <row r="166" spans="2:5">
      <c r="B166" s="113">
        <v>258</v>
      </c>
      <c r="D166" s="101" t="s">
        <v>172</v>
      </c>
      <c r="E166" s="114" t="s">
        <v>698</v>
      </c>
    </row>
    <row r="167" spans="2:5">
      <c r="B167" s="113">
        <v>259</v>
      </c>
      <c r="D167" s="101" t="s">
        <v>173</v>
      </c>
      <c r="E167" s="114" t="s">
        <v>699</v>
      </c>
    </row>
    <row r="168" spans="2:5">
      <c r="B168" s="113">
        <v>260</v>
      </c>
      <c r="D168" s="101" t="s">
        <v>174</v>
      </c>
      <c r="E168" s="114" t="s">
        <v>700</v>
      </c>
    </row>
    <row r="169" spans="2:5">
      <c r="B169" s="113">
        <v>261</v>
      </c>
      <c r="D169" s="101" t="s">
        <v>175</v>
      </c>
      <c r="E169" s="114" t="s">
        <v>701</v>
      </c>
    </row>
    <row r="170" spans="2:5" ht="24">
      <c r="B170" s="113">
        <v>262</v>
      </c>
      <c r="D170" s="101" t="s">
        <v>176</v>
      </c>
      <c r="E170" s="114" t="s">
        <v>702</v>
      </c>
    </row>
    <row r="171" spans="2:5">
      <c r="B171" s="113">
        <v>263</v>
      </c>
      <c r="D171" s="101" t="s">
        <v>177</v>
      </c>
      <c r="E171" s="114" t="s">
        <v>703</v>
      </c>
    </row>
    <row r="172" spans="2:5">
      <c r="B172" s="113">
        <v>264</v>
      </c>
      <c r="D172" s="101" t="s">
        <v>178</v>
      </c>
      <c r="E172" s="114" t="s">
        <v>704</v>
      </c>
    </row>
    <row r="173" spans="2:5">
      <c r="B173" s="113">
        <v>265</v>
      </c>
      <c r="D173" s="101" t="s">
        <v>179</v>
      </c>
      <c r="E173" s="114" t="s">
        <v>705</v>
      </c>
    </row>
    <row r="174" spans="2:5">
      <c r="B174" s="113">
        <v>266</v>
      </c>
      <c r="D174" s="101" t="s">
        <v>180</v>
      </c>
      <c r="E174" s="114" t="s">
        <v>706</v>
      </c>
    </row>
    <row r="175" spans="2:5">
      <c r="B175" s="113">
        <v>267</v>
      </c>
      <c r="D175" s="101" t="s">
        <v>181</v>
      </c>
      <c r="E175" s="114" t="s">
        <v>707</v>
      </c>
    </row>
    <row r="176" spans="2:5">
      <c r="B176" s="113">
        <v>268</v>
      </c>
      <c r="D176" s="101" t="s">
        <v>182</v>
      </c>
      <c r="E176" s="114" t="s">
        <v>708</v>
      </c>
    </row>
    <row r="177" spans="2:5">
      <c r="B177" s="113">
        <v>269</v>
      </c>
      <c r="D177" s="101" t="s">
        <v>473</v>
      </c>
      <c r="E177" s="114" t="s">
        <v>709</v>
      </c>
    </row>
    <row r="178" spans="2:5">
      <c r="B178" s="113">
        <v>270</v>
      </c>
      <c r="D178" s="101" t="s">
        <v>183</v>
      </c>
      <c r="E178" s="114" t="s">
        <v>710</v>
      </c>
    </row>
    <row r="179" spans="2:5">
      <c r="B179" s="113">
        <v>271</v>
      </c>
      <c r="D179" s="101" t="s">
        <v>474</v>
      </c>
      <c r="E179" s="114" t="s">
        <v>545</v>
      </c>
    </row>
    <row r="180" spans="2:5" ht="24">
      <c r="B180" s="113">
        <v>272</v>
      </c>
      <c r="D180" s="101" t="s">
        <v>184</v>
      </c>
    </row>
    <row r="181" spans="2:5">
      <c r="B181" s="113">
        <v>273</v>
      </c>
      <c r="D181" s="101" t="s">
        <v>185</v>
      </c>
      <c r="E181" s="114" t="s">
        <v>711</v>
      </c>
    </row>
    <row r="182" spans="2:5">
      <c r="B182" s="113">
        <v>274</v>
      </c>
      <c r="D182" s="101" t="s">
        <v>186</v>
      </c>
      <c r="E182" s="114" t="s">
        <v>546</v>
      </c>
    </row>
    <row r="183" spans="2:5">
      <c r="B183" s="113">
        <v>275</v>
      </c>
      <c r="D183" s="101" t="s">
        <v>187</v>
      </c>
      <c r="E183" s="114" t="s">
        <v>547</v>
      </c>
    </row>
    <row r="184" spans="2:5">
      <c r="B184" s="113">
        <v>276</v>
      </c>
      <c r="D184" s="101" t="s">
        <v>188</v>
      </c>
      <c r="E184" s="114" t="s">
        <v>941</v>
      </c>
    </row>
    <row r="185" spans="2:5">
      <c r="B185" s="113">
        <v>277</v>
      </c>
      <c r="D185" s="101" t="s">
        <v>475</v>
      </c>
      <c r="E185" s="114" t="s">
        <v>548</v>
      </c>
    </row>
    <row r="186" spans="2:5">
      <c r="B186" s="113">
        <v>278</v>
      </c>
      <c r="D186" s="101" t="s">
        <v>189</v>
      </c>
      <c r="E186" s="114" t="s">
        <v>549</v>
      </c>
    </row>
    <row r="187" spans="2:5">
      <c r="B187" s="113">
        <v>279</v>
      </c>
      <c r="D187" s="101" t="s">
        <v>190</v>
      </c>
      <c r="E187" s="114" t="s">
        <v>712</v>
      </c>
    </row>
    <row r="188" spans="2:5">
      <c r="B188" s="113">
        <v>280</v>
      </c>
      <c r="D188" s="101" t="s">
        <v>1</v>
      </c>
      <c r="E188" s="114" t="s">
        <v>1</v>
      </c>
    </row>
    <row r="189" spans="2:5">
      <c r="B189" s="113">
        <v>281</v>
      </c>
      <c r="D189" s="101" t="s">
        <v>2</v>
      </c>
      <c r="E189" s="114" t="s">
        <v>2</v>
      </c>
    </row>
    <row r="190" spans="2:5">
      <c r="B190" s="113">
        <v>282</v>
      </c>
      <c r="D190" s="101" t="s">
        <v>191</v>
      </c>
      <c r="E190" s="114" t="s">
        <v>192</v>
      </c>
    </row>
    <row r="191" spans="2:5">
      <c r="B191" s="113">
        <v>283</v>
      </c>
      <c r="D191" s="101" t="s">
        <v>193</v>
      </c>
      <c r="E191" s="114" t="s">
        <v>942</v>
      </c>
    </row>
    <row r="192" spans="2:5">
      <c r="B192" s="113">
        <v>284</v>
      </c>
      <c r="D192" s="101" t="s">
        <v>194</v>
      </c>
      <c r="E192" s="114" t="s">
        <v>713</v>
      </c>
    </row>
    <row r="193" spans="2:5">
      <c r="B193" s="113">
        <v>285</v>
      </c>
      <c r="D193" s="101" t="s">
        <v>195</v>
      </c>
      <c r="E193" s="114" t="s">
        <v>550</v>
      </c>
    </row>
    <row r="194" spans="2:5">
      <c r="B194" s="113">
        <v>286</v>
      </c>
      <c r="D194" s="101" t="s">
        <v>476</v>
      </c>
      <c r="E194" s="114" t="s">
        <v>551</v>
      </c>
    </row>
    <row r="195" spans="2:5">
      <c r="B195" s="113">
        <v>287</v>
      </c>
      <c r="D195" s="101" t="s">
        <v>477</v>
      </c>
      <c r="E195" s="114" t="s">
        <v>552</v>
      </c>
    </row>
    <row r="196" spans="2:5">
      <c r="B196" s="113">
        <v>288</v>
      </c>
      <c r="D196" s="101" t="s">
        <v>478</v>
      </c>
      <c r="E196" s="114" t="s">
        <v>551</v>
      </c>
    </row>
    <row r="197" spans="2:5">
      <c r="B197" s="113">
        <v>289</v>
      </c>
      <c r="D197" s="101" t="s">
        <v>196</v>
      </c>
      <c r="E197" s="114" t="s">
        <v>553</v>
      </c>
    </row>
    <row r="198" spans="2:5">
      <c r="B198" s="113">
        <v>290</v>
      </c>
      <c r="D198" s="101" t="s">
        <v>479</v>
      </c>
      <c r="E198" s="114" t="s">
        <v>714</v>
      </c>
    </row>
    <row r="199" spans="2:5">
      <c r="B199" s="113">
        <v>291</v>
      </c>
      <c r="D199" s="101" t="s">
        <v>197</v>
      </c>
      <c r="E199" s="114" t="s">
        <v>715</v>
      </c>
    </row>
    <row r="200" spans="2:5">
      <c r="B200" s="113">
        <v>292</v>
      </c>
      <c r="D200" s="101" t="s">
        <v>510</v>
      </c>
      <c r="E200" s="114" t="s">
        <v>716</v>
      </c>
    </row>
    <row r="201" spans="2:5">
      <c r="B201" s="113">
        <v>293</v>
      </c>
      <c r="D201" s="101" t="s">
        <v>511</v>
      </c>
      <c r="E201" s="114" t="s">
        <v>943</v>
      </c>
    </row>
    <row r="202" spans="2:5">
      <c r="B202" s="113">
        <v>294</v>
      </c>
      <c r="D202" s="101" t="s">
        <v>198</v>
      </c>
      <c r="E202" s="114" t="s">
        <v>554</v>
      </c>
    </row>
    <row r="203" spans="2:5">
      <c r="B203" s="113">
        <v>295</v>
      </c>
      <c r="D203" s="101" t="s">
        <v>480</v>
      </c>
      <c r="E203" s="114" t="s">
        <v>555</v>
      </c>
    </row>
    <row r="204" spans="2:5">
      <c r="B204" s="113">
        <v>296</v>
      </c>
      <c r="D204" s="101" t="s">
        <v>199</v>
      </c>
      <c r="E204" s="114" t="s">
        <v>717</v>
      </c>
    </row>
    <row r="205" spans="2:5">
      <c r="B205" s="113">
        <v>297</v>
      </c>
      <c r="D205" s="101" t="s">
        <v>200</v>
      </c>
      <c r="E205" s="114" t="s">
        <v>718</v>
      </c>
    </row>
    <row r="206" spans="2:5">
      <c r="B206" s="113">
        <v>298</v>
      </c>
      <c r="D206" s="101" t="s">
        <v>201</v>
      </c>
      <c r="E206" s="114" t="s">
        <v>556</v>
      </c>
    </row>
    <row r="207" spans="2:5" ht="24">
      <c r="B207" s="113">
        <v>299</v>
      </c>
      <c r="D207" s="101" t="s">
        <v>202</v>
      </c>
      <c r="E207" s="114" t="s">
        <v>719</v>
      </c>
    </row>
    <row r="208" spans="2:5" ht="24">
      <c r="B208" s="113">
        <v>300</v>
      </c>
      <c r="D208" s="101" t="s">
        <v>512</v>
      </c>
      <c r="E208" s="114" t="s">
        <v>720</v>
      </c>
    </row>
    <row r="209" spans="2:5">
      <c r="B209" s="113">
        <v>301</v>
      </c>
      <c r="D209" s="101" t="s">
        <v>513</v>
      </c>
      <c r="E209" s="114" t="s">
        <v>944</v>
      </c>
    </row>
    <row r="210" spans="2:5">
      <c r="B210" s="113">
        <v>302</v>
      </c>
      <c r="D210" s="101" t="s">
        <v>481</v>
      </c>
      <c r="E210" s="114" t="s">
        <v>945</v>
      </c>
    </row>
    <row r="211" spans="2:5">
      <c r="B211" s="113">
        <v>303</v>
      </c>
      <c r="D211" s="101" t="s">
        <v>203</v>
      </c>
      <c r="E211" s="114" t="s">
        <v>721</v>
      </c>
    </row>
    <row r="212" spans="2:5">
      <c r="B212" s="113">
        <v>304</v>
      </c>
      <c r="D212" s="101" t="s">
        <v>482</v>
      </c>
      <c r="E212" s="114" t="s">
        <v>722</v>
      </c>
    </row>
    <row r="213" spans="2:5">
      <c r="B213" s="113">
        <v>305</v>
      </c>
      <c r="D213" s="101" t="s">
        <v>483</v>
      </c>
      <c r="E213" s="114" t="s">
        <v>557</v>
      </c>
    </row>
    <row r="214" spans="2:5">
      <c r="B214" s="113">
        <v>306</v>
      </c>
      <c r="D214" s="101" t="s">
        <v>204</v>
      </c>
      <c r="E214" s="114" t="s">
        <v>723</v>
      </c>
    </row>
    <row r="215" spans="2:5">
      <c r="B215" s="113">
        <v>307</v>
      </c>
      <c r="D215" s="101" t="s">
        <v>205</v>
      </c>
      <c r="E215" s="114" t="s">
        <v>558</v>
      </c>
    </row>
    <row r="216" spans="2:5">
      <c r="B216" s="113">
        <v>308</v>
      </c>
      <c r="D216" s="101" t="s">
        <v>484</v>
      </c>
      <c r="E216" s="114" t="s">
        <v>724</v>
      </c>
    </row>
    <row r="217" spans="2:5">
      <c r="B217" s="113">
        <v>309</v>
      </c>
      <c r="D217" s="101" t="s">
        <v>206</v>
      </c>
      <c r="E217" s="114" t="s">
        <v>725</v>
      </c>
    </row>
    <row r="218" spans="2:5">
      <c r="B218" s="113">
        <v>310</v>
      </c>
      <c r="D218" s="101" t="s">
        <v>207</v>
      </c>
      <c r="E218" s="114" t="s">
        <v>726</v>
      </c>
    </row>
    <row r="219" spans="2:5" ht="24">
      <c r="B219" s="113">
        <v>311</v>
      </c>
      <c r="D219" s="101" t="s">
        <v>208</v>
      </c>
      <c r="E219" s="114" t="s">
        <v>727</v>
      </c>
    </row>
    <row r="220" spans="2:5">
      <c r="B220" s="113">
        <v>312</v>
      </c>
      <c r="D220" s="101" t="s">
        <v>209</v>
      </c>
      <c r="E220" s="114" t="s">
        <v>728</v>
      </c>
    </row>
    <row r="221" spans="2:5">
      <c r="B221" s="113">
        <v>313</v>
      </c>
      <c r="C221" s="110" t="s">
        <v>920</v>
      </c>
      <c r="D221" s="101" t="s">
        <v>946</v>
      </c>
      <c r="E221" s="120" t="s">
        <v>947</v>
      </c>
    </row>
    <row r="222" spans="2:5">
      <c r="B222" s="113">
        <v>314</v>
      </c>
      <c r="D222" s="101" t="s">
        <v>210</v>
      </c>
      <c r="E222" s="114" t="s">
        <v>948</v>
      </c>
    </row>
    <row r="223" spans="2:5">
      <c r="B223" s="113">
        <v>315</v>
      </c>
      <c r="D223" s="101" t="s">
        <v>211</v>
      </c>
      <c r="E223" s="114" t="s">
        <v>729</v>
      </c>
    </row>
    <row r="224" spans="2:5">
      <c r="B224" s="113">
        <v>316</v>
      </c>
      <c r="D224" s="101" t="s">
        <v>212</v>
      </c>
      <c r="E224" s="114" t="s">
        <v>730</v>
      </c>
    </row>
    <row r="225" spans="1:6">
      <c r="B225" s="113">
        <v>317</v>
      </c>
      <c r="D225" s="101" t="s">
        <v>213</v>
      </c>
      <c r="E225" s="114" t="s">
        <v>731</v>
      </c>
    </row>
    <row r="226" spans="1:6">
      <c r="B226" s="113">
        <v>318</v>
      </c>
      <c r="D226" s="101" t="s">
        <v>214</v>
      </c>
      <c r="E226" s="114" t="s">
        <v>559</v>
      </c>
    </row>
    <row r="227" spans="1:6">
      <c r="B227" s="113">
        <v>319</v>
      </c>
      <c r="D227" s="101" t="s">
        <v>485</v>
      </c>
      <c r="E227" s="114" t="s">
        <v>732</v>
      </c>
    </row>
    <row r="228" spans="1:6">
      <c r="B228" s="113">
        <v>320</v>
      </c>
      <c r="D228" s="101" t="s">
        <v>215</v>
      </c>
      <c r="E228" s="114" t="s">
        <v>733</v>
      </c>
    </row>
    <row r="229" spans="1:6" ht="36">
      <c r="B229" s="113">
        <v>321</v>
      </c>
      <c r="D229" s="101" t="s">
        <v>216</v>
      </c>
      <c r="E229" s="114" t="s">
        <v>734</v>
      </c>
    </row>
    <row r="230" spans="1:6">
      <c r="B230" s="113">
        <v>322</v>
      </c>
      <c r="D230" s="101" t="s">
        <v>217</v>
      </c>
      <c r="E230" s="114" t="s">
        <v>735</v>
      </c>
    </row>
    <row r="231" spans="1:6" ht="24">
      <c r="B231" s="113">
        <v>323</v>
      </c>
      <c r="D231" s="101" t="s">
        <v>218</v>
      </c>
      <c r="E231" s="114" t="s">
        <v>736</v>
      </c>
    </row>
    <row r="232" spans="1:6">
      <c r="A232" s="103"/>
      <c r="B232" s="113">
        <v>324</v>
      </c>
      <c r="C232" s="112" t="s">
        <v>509</v>
      </c>
      <c r="D232" s="102" t="s">
        <v>949</v>
      </c>
      <c r="E232" s="102" t="s">
        <v>516</v>
      </c>
      <c r="F232" s="104"/>
    </row>
    <row r="233" spans="1:6">
      <c r="A233" s="103"/>
      <c r="B233" s="113">
        <v>325</v>
      </c>
      <c r="C233" s="112" t="s">
        <v>509</v>
      </c>
      <c r="D233" s="102" t="s">
        <v>950</v>
      </c>
      <c r="E233" s="102" t="s">
        <v>899</v>
      </c>
      <c r="F233" s="104"/>
    </row>
    <row r="234" spans="1:6">
      <c r="A234" s="103"/>
      <c r="B234" s="113">
        <v>326</v>
      </c>
      <c r="C234" s="112" t="s">
        <v>918</v>
      </c>
      <c r="D234" s="102" t="s">
        <v>951</v>
      </c>
      <c r="E234" s="102" t="s">
        <v>952</v>
      </c>
      <c r="F234" s="104"/>
    </row>
    <row r="235" spans="1:6">
      <c r="B235" s="113">
        <v>327</v>
      </c>
      <c r="D235" s="101" t="s">
        <v>219</v>
      </c>
      <c r="E235" s="114" t="s">
        <v>560</v>
      </c>
    </row>
    <row r="236" spans="1:6" ht="12.75">
      <c r="B236" s="113">
        <v>328</v>
      </c>
      <c r="D236" s="101" t="s">
        <v>220</v>
      </c>
      <c r="E236" s="122" t="s">
        <v>905</v>
      </c>
    </row>
    <row r="237" spans="1:6">
      <c r="B237" s="113">
        <v>329</v>
      </c>
      <c r="D237" s="101" t="s">
        <v>221</v>
      </c>
      <c r="E237" s="114" t="s">
        <v>737</v>
      </c>
    </row>
    <row r="238" spans="1:6">
      <c r="B238" s="113">
        <v>330</v>
      </c>
      <c r="D238" s="101" t="s">
        <v>222</v>
      </c>
      <c r="E238" s="114" t="s">
        <v>738</v>
      </c>
    </row>
    <row r="239" spans="1:6">
      <c r="B239" s="113">
        <v>331</v>
      </c>
      <c r="D239" s="101" t="s">
        <v>223</v>
      </c>
      <c r="E239" s="114" t="s">
        <v>739</v>
      </c>
    </row>
    <row r="240" spans="1:6">
      <c r="B240" s="113">
        <v>332</v>
      </c>
      <c r="D240" s="101" t="s">
        <v>224</v>
      </c>
      <c r="E240" s="114" t="s">
        <v>740</v>
      </c>
    </row>
    <row r="241" spans="2:5">
      <c r="B241" s="113">
        <v>333</v>
      </c>
      <c r="D241" s="101" t="s">
        <v>225</v>
      </c>
      <c r="E241" s="114" t="s">
        <v>741</v>
      </c>
    </row>
    <row r="242" spans="2:5">
      <c r="B242" s="113">
        <v>334</v>
      </c>
      <c r="D242" s="101" t="s">
        <v>226</v>
      </c>
      <c r="E242" s="114" t="s">
        <v>742</v>
      </c>
    </row>
    <row r="243" spans="2:5">
      <c r="B243" s="113">
        <v>335</v>
      </c>
      <c r="D243" s="101" t="s">
        <v>227</v>
      </c>
      <c r="E243" s="114" t="s">
        <v>743</v>
      </c>
    </row>
    <row r="244" spans="2:5">
      <c r="B244" s="113">
        <v>336</v>
      </c>
      <c r="D244" s="101" t="s">
        <v>228</v>
      </c>
      <c r="E244" s="114" t="s">
        <v>561</v>
      </c>
    </row>
    <row r="245" spans="2:5">
      <c r="B245" s="113">
        <v>337</v>
      </c>
      <c r="D245" s="101" t="s">
        <v>229</v>
      </c>
      <c r="E245" s="114" t="s">
        <v>744</v>
      </c>
    </row>
    <row r="246" spans="2:5">
      <c r="B246" s="113">
        <v>338</v>
      </c>
      <c r="D246" s="101" t="s">
        <v>230</v>
      </c>
      <c r="E246" s="114" t="s">
        <v>562</v>
      </c>
    </row>
    <row r="247" spans="2:5">
      <c r="B247" s="113">
        <v>339</v>
      </c>
      <c r="D247" s="101" t="s">
        <v>231</v>
      </c>
      <c r="E247" s="114" t="s">
        <v>745</v>
      </c>
    </row>
    <row r="248" spans="2:5">
      <c r="B248" s="113">
        <v>340</v>
      </c>
      <c r="D248" s="101" t="s">
        <v>232</v>
      </c>
      <c r="E248" s="114" t="s">
        <v>563</v>
      </c>
    </row>
    <row r="249" spans="2:5">
      <c r="B249" s="113">
        <v>341</v>
      </c>
      <c r="D249" s="101" t="s">
        <v>233</v>
      </c>
      <c r="E249" s="114" t="s">
        <v>746</v>
      </c>
    </row>
    <row r="250" spans="2:5">
      <c r="B250" s="113">
        <v>342</v>
      </c>
      <c r="D250" s="101" t="s">
        <v>234</v>
      </c>
      <c r="E250" s="114" t="s">
        <v>564</v>
      </c>
    </row>
    <row r="251" spans="2:5">
      <c r="B251" s="113">
        <v>343</v>
      </c>
      <c r="D251" s="101" t="s">
        <v>235</v>
      </c>
      <c r="E251" s="114" t="s">
        <v>747</v>
      </c>
    </row>
    <row r="252" spans="2:5">
      <c r="B252" s="113">
        <v>344</v>
      </c>
      <c r="D252" s="101" t="s">
        <v>236</v>
      </c>
      <c r="E252" s="114" t="s">
        <v>565</v>
      </c>
    </row>
    <row r="253" spans="2:5">
      <c r="B253" s="113">
        <v>345</v>
      </c>
      <c r="D253" s="101" t="s">
        <v>237</v>
      </c>
      <c r="E253" s="114" t="s">
        <v>748</v>
      </c>
    </row>
    <row r="254" spans="2:5">
      <c r="B254" s="113">
        <v>346</v>
      </c>
      <c r="D254" s="101" t="s">
        <v>238</v>
      </c>
      <c r="E254" s="114" t="s">
        <v>749</v>
      </c>
    </row>
    <row r="255" spans="2:5">
      <c r="B255" s="113">
        <v>347</v>
      </c>
      <c r="D255" s="101" t="s">
        <v>486</v>
      </c>
      <c r="E255" s="114" t="s">
        <v>486</v>
      </c>
    </row>
    <row r="256" spans="2:5">
      <c r="B256" s="113">
        <v>348</v>
      </c>
      <c r="D256" s="101" t="s">
        <v>239</v>
      </c>
      <c r="E256" s="114" t="s">
        <v>566</v>
      </c>
    </row>
    <row r="257" spans="2:5" ht="24">
      <c r="B257" s="113">
        <v>349</v>
      </c>
      <c r="D257" s="101" t="s">
        <v>240</v>
      </c>
      <c r="E257" s="114" t="s">
        <v>750</v>
      </c>
    </row>
    <row r="258" spans="2:5">
      <c r="B258" s="113">
        <v>350</v>
      </c>
      <c r="D258" s="101" t="s">
        <v>241</v>
      </c>
      <c r="E258" s="114" t="s">
        <v>751</v>
      </c>
    </row>
    <row r="259" spans="2:5" ht="24">
      <c r="B259" s="113">
        <v>351</v>
      </c>
      <c r="D259" s="101" t="s">
        <v>242</v>
      </c>
      <c r="E259" s="114" t="s">
        <v>752</v>
      </c>
    </row>
    <row r="260" spans="2:5" ht="12.75">
      <c r="B260" s="113">
        <v>352</v>
      </c>
      <c r="D260" s="108" t="s">
        <v>953</v>
      </c>
      <c r="E260" s="121" t="s">
        <v>954</v>
      </c>
    </row>
    <row r="261" spans="2:5">
      <c r="B261" s="113">
        <v>353</v>
      </c>
      <c r="D261" s="101" t="s">
        <v>487</v>
      </c>
      <c r="E261" s="114" t="s">
        <v>567</v>
      </c>
    </row>
    <row r="262" spans="2:5">
      <c r="B262" s="113">
        <v>354</v>
      </c>
      <c r="D262" s="101" t="s">
        <v>243</v>
      </c>
      <c r="E262" s="114" t="s">
        <v>753</v>
      </c>
    </row>
    <row r="263" spans="2:5">
      <c r="B263" s="113">
        <v>355</v>
      </c>
      <c r="D263" s="101" t="s">
        <v>488</v>
      </c>
      <c r="E263" s="114" t="s">
        <v>754</v>
      </c>
    </row>
    <row r="264" spans="2:5">
      <c r="B264" s="113">
        <v>356</v>
      </c>
      <c r="D264" s="101" t="s">
        <v>244</v>
      </c>
      <c r="E264" s="114" t="s">
        <v>568</v>
      </c>
    </row>
    <row r="265" spans="2:5">
      <c r="B265" s="113">
        <v>357</v>
      </c>
      <c r="D265" s="101" t="s">
        <v>245</v>
      </c>
      <c r="E265" s="114" t="s">
        <v>569</v>
      </c>
    </row>
    <row r="266" spans="2:5">
      <c r="B266" s="113">
        <v>358</v>
      </c>
      <c r="D266" s="101" t="s">
        <v>246</v>
      </c>
      <c r="E266" s="114" t="s">
        <v>755</v>
      </c>
    </row>
    <row r="267" spans="2:5">
      <c r="B267" s="113">
        <v>359</v>
      </c>
      <c r="D267" s="101" t="s">
        <v>247</v>
      </c>
      <c r="E267" s="114" t="s">
        <v>756</v>
      </c>
    </row>
    <row r="268" spans="2:5">
      <c r="B268" s="113">
        <v>360</v>
      </c>
      <c r="D268" s="101" t="s">
        <v>248</v>
      </c>
      <c r="E268" s="114" t="s">
        <v>757</v>
      </c>
    </row>
    <row r="269" spans="2:5">
      <c r="B269" s="113">
        <v>361</v>
      </c>
      <c r="D269" s="101" t="s">
        <v>249</v>
      </c>
    </row>
    <row r="270" spans="2:5">
      <c r="B270" s="113">
        <v>362</v>
      </c>
      <c r="D270" s="101" t="s">
        <v>489</v>
      </c>
      <c r="E270" s="114" t="s">
        <v>758</v>
      </c>
    </row>
    <row r="271" spans="2:5" ht="24">
      <c r="B271" s="113">
        <v>363</v>
      </c>
      <c r="D271" s="101" t="s">
        <v>490</v>
      </c>
      <c r="E271" s="114" t="s">
        <v>759</v>
      </c>
    </row>
    <row r="272" spans="2:5" ht="24">
      <c r="B272" s="113">
        <v>364</v>
      </c>
      <c r="D272" s="101" t="s">
        <v>250</v>
      </c>
      <c r="E272" s="114" t="s">
        <v>760</v>
      </c>
    </row>
    <row r="273" spans="2:5">
      <c r="B273" s="113">
        <v>365</v>
      </c>
      <c r="D273" s="101" t="s">
        <v>251</v>
      </c>
      <c r="E273" s="114" t="s">
        <v>761</v>
      </c>
    </row>
    <row r="274" spans="2:5">
      <c r="B274" s="113">
        <v>366</v>
      </c>
      <c r="D274" s="101" t="s">
        <v>252</v>
      </c>
      <c r="E274" s="114" t="s">
        <v>762</v>
      </c>
    </row>
    <row r="275" spans="2:5">
      <c r="B275" s="113">
        <v>367</v>
      </c>
      <c r="D275" s="101" t="s">
        <v>253</v>
      </c>
      <c r="E275" s="114" t="s">
        <v>570</v>
      </c>
    </row>
    <row r="276" spans="2:5">
      <c r="B276" s="113">
        <v>368</v>
      </c>
      <c r="D276" s="101" t="s">
        <v>254</v>
      </c>
      <c r="E276" s="114" t="s">
        <v>571</v>
      </c>
    </row>
    <row r="277" spans="2:5">
      <c r="B277" s="113">
        <v>369</v>
      </c>
      <c r="D277" s="101" t="s">
        <v>255</v>
      </c>
      <c r="E277" s="114" t="s">
        <v>763</v>
      </c>
    </row>
    <row r="278" spans="2:5">
      <c r="B278" s="113">
        <v>370</v>
      </c>
      <c r="D278" s="101" t="s">
        <v>256</v>
      </c>
      <c r="E278" s="114" t="s">
        <v>572</v>
      </c>
    </row>
    <row r="279" spans="2:5">
      <c r="B279" s="113">
        <v>371</v>
      </c>
      <c r="D279" s="101" t="s">
        <v>257</v>
      </c>
      <c r="E279" s="114" t="s">
        <v>764</v>
      </c>
    </row>
    <row r="280" spans="2:5">
      <c r="B280" s="113">
        <v>372</v>
      </c>
      <c r="D280" s="101" t="s">
        <v>258</v>
      </c>
      <c r="E280" s="114" t="s">
        <v>573</v>
      </c>
    </row>
    <row r="281" spans="2:5">
      <c r="B281" s="113">
        <v>373</v>
      </c>
      <c r="D281" s="101" t="s">
        <v>259</v>
      </c>
      <c r="E281" s="114" t="s">
        <v>574</v>
      </c>
    </row>
    <row r="282" spans="2:5">
      <c r="B282" s="113">
        <v>374</v>
      </c>
      <c r="D282" s="101" t="s">
        <v>260</v>
      </c>
      <c r="E282" s="114" t="s">
        <v>765</v>
      </c>
    </row>
    <row r="283" spans="2:5">
      <c r="B283" s="113">
        <v>375</v>
      </c>
      <c r="D283" s="101" t="s">
        <v>261</v>
      </c>
      <c r="E283" s="114" t="s">
        <v>766</v>
      </c>
    </row>
    <row r="284" spans="2:5">
      <c r="B284" s="113">
        <v>376</v>
      </c>
      <c r="D284" s="101" t="s">
        <v>262</v>
      </c>
      <c r="E284" s="114" t="s">
        <v>767</v>
      </c>
    </row>
    <row r="285" spans="2:5">
      <c r="B285" s="113">
        <v>377</v>
      </c>
      <c r="D285" s="101" t="s">
        <v>263</v>
      </c>
      <c r="E285" s="114" t="s">
        <v>768</v>
      </c>
    </row>
    <row r="286" spans="2:5">
      <c r="B286" s="113">
        <v>378</v>
      </c>
      <c r="D286" s="101" t="s">
        <v>264</v>
      </c>
      <c r="E286" s="114" t="s">
        <v>575</v>
      </c>
    </row>
    <row r="287" spans="2:5">
      <c r="B287" s="113">
        <v>379</v>
      </c>
      <c r="D287" s="101" t="s">
        <v>265</v>
      </c>
      <c r="E287" s="114" t="s">
        <v>955</v>
      </c>
    </row>
    <row r="288" spans="2:5">
      <c r="B288" s="113">
        <v>380</v>
      </c>
      <c r="D288" s="101" t="s">
        <v>266</v>
      </c>
      <c r="E288" s="114" t="s">
        <v>769</v>
      </c>
    </row>
    <row r="289" spans="2:5">
      <c r="B289" s="113">
        <v>381</v>
      </c>
      <c r="D289" s="101" t="s">
        <v>267</v>
      </c>
      <c r="E289" s="114" t="s">
        <v>576</v>
      </c>
    </row>
    <row r="290" spans="2:5" ht="36">
      <c r="B290" s="113">
        <v>382</v>
      </c>
      <c r="D290" s="101" t="s">
        <v>268</v>
      </c>
      <c r="E290" s="114" t="s">
        <v>770</v>
      </c>
    </row>
    <row r="291" spans="2:5">
      <c r="B291" s="113">
        <v>383</v>
      </c>
      <c r="D291" s="101" t="s">
        <v>269</v>
      </c>
      <c r="E291" s="114" t="s">
        <v>771</v>
      </c>
    </row>
    <row r="292" spans="2:5" ht="24">
      <c r="B292" s="113">
        <v>384</v>
      </c>
      <c r="D292" s="101" t="s">
        <v>270</v>
      </c>
      <c r="E292" s="114" t="s">
        <v>772</v>
      </c>
    </row>
    <row r="293" spans="2:5">
      <c r="B293" s="113">
        <v>385</v>
      </c>
      <c r="D293" s="101" t="s">
        <v>271</v>
      </c>
      <c r="E293" s="114" t="s">
        <v>773</v>
      </c>
    </row>
    <row r="294" spans="2:5" ht="24">
      <c r="B294" s="113">
        <v>386</v>
      </c>
      <c r="D294" s="101" t="s">
        <v>272</v>
      </c>
      <c r="E294" s="114" t="s">
        <v>774</v>
      </c>
    </row>
    <row r="295" spans="2:5" ht="24">
      <c r="B295" s="113">
        <v>387</v>
      </c>
      <c r="D295" s="101" t="s">
        <v>273</v>
      </c>
      <c r="E295" s="114" t="s">
        <v>775</v>
      </c>
    </row>
    <row r="296" spans="2:5" ht="24">
      <c r="B296" s="113">
        <v>388</v>
      </c>
      <c r="D296" s="101" t="s">
        <v>274</v>
      </c>
      <c r="E296" s="114" t="s">
        <v>776</v>
      </c>
    </row>
    <row r="297" spans="2:5" ht="24">
      <c r="B297" s="113">
        <v>389</v>
      </c>
      <c r="D297" s="101" t="s">
        <v>275</v>
      </c>
      <c r="E297" s="114" t="s">
        <v>777</v>
      </c>
    </row>
    <row r="298" spans="2:5" ht="24">
      <c r="B298" s="113">
        <v>390</v>
      </c>
      <c r="D298" s="101" t="s">
        <v>276</v>
      </c>
      <c r="E298" s="114" t="s">
        <v>778</v>
      </c>
    </row>
    <row r="299" spans="2:5" ht="24">
      <c r="B299" s="113">
        <v>391</v>
      </c>
      <c r="D299" s="101" t="s">
        <v>277</v>
      </c>
      <c r="E299" s="114" t="s">
        <v>779</v>
      </c>
    </row>
    <row r="300" spans="2:5" ht="24">
      <c r="B300" s="113">
        <v>392</v>
      </c>
      <c r="D300" s="101" t="s">
        <v>278</v>
      </c>
      <c r="E300" s="114" t="s">
        <v>780</v>
      </c>
    </row>
    <row r="301" spans="2:5" ht="24">
      <c r="B301" s="113">
        <v>393</v>
      </c>
      <c r="D301" s="101" t="s">
        <v>279</v>
      </c>
      <c r="E301" s="114" t="s">
        <v>781</v>
      </c>
    </row>
    <row r="302" spans="2:5" ht="24">
      <c r="B302" s="113">
        <v>394</v>
      </c>
      <c r="D302" s="101" t="s">
        <v>280</v>
      </c>
      <c r="E302" s="114" t="s">
        <v>782</v>
      </c>
    </row>
    <row r="303" spans="2:5" ht="24">
      <c r="B303" s="113">
        <v>395</v>
      </c>
      <c r="D303" s="101" t="s">
        <v>281</v>
      </c>
      <c r="E303" s="114" t="s">
        <v>783</v>
      </c>
    </row>
    <row r="304" spans="2:5" ht="24">
      <c r="B304" s="113">
        <v>396</v>
      </c>
      <c r="D304" s="101" t="s">
        <v>282</v>
      </c>
      <c r="E304" s="114" t="s">
        <v>784</v>
      </c>
    </row>
    <row r="305" spans="2:5" ht="24">
      <c r="B305" s="113">
        <v>397</v>
      </c>
      <c r="D305" s="101" t="s">
        <v>283</v>
      </c>
      <c r="E305" s="114" t="s">
        <v>785</v>
      </c>
    </row>
    <row r="306" spans="2:5" ht="24">
      <c r="B306" s="113">
        <v>398</v>
      </c>
      <c r="D306" s="101" t="s">
        <v>284</v>
      </c>
      <c r="E306" s="114" t="s">
        <v>786</v>
      </c>
    </row>
    <row r="307" spans="2:5" ht="24">
      <c r="B307" s="113">
        <v>399</v>
      </c>
      <c r="D307" s="101" t="s">
        <v>285</v>
      </c>
      <c r="E307" s="114" t="s">
        <v>787</v>
      </c>
    </row>
    <row r="308" spans="2:5" ht="24">
      <c r="B308" s="113">
        <v>400</v>
      </c>
      <c r="D308" s="101" t="s">
        <v>286</v>
      </c>
      <c r="E308" s="114" t="s">
        <v>788</v>
      </c>
    </row>
    <row r="309" spans="2:5" ht="24">
      <c r="B309" s="113">
        <v>401</v>
      </c>
      <c r="D309" s="101" t="s">
        <v>287</v>
      </c>
      <c r="E309" s="114" t="s">
        <v>789</v>
      </c>
    </row>
    <row r="310" spans="2:5" ht="24">
      <c r="B310" s="113">
        <v>402</v>
      </c>
      <c r="D310" s="101" t="s">
        <v>288</v>
      </c>
      <c r="E310" s="114" t="s">
        <v>790</v>
      </c>
    </row>
    <row r="311" spans="2:5" ht="24">
      <c r="B311" s="113">
        <v>403</v>
      </c>
      <c r="D311" s="101" t="s">
        <v>289</v>
      </c>
      <c r="E311" s="114" t="s">
        <v>791</v>
      </c>
    </row>
    <row r="312" spans="2:5" ht="24">
      <c r="B312" s="113">
        <v>404</v>
      </c>
      <c r="D312" s="101" t="s">
        <v>290</v>
      </c>
      <c r="E312" s="114" t="s">
        <v>792</v>
      </c>
    </row>
    <row r="313" spans="2:5">
      <c r="B313" s="113">
        <v>405</v>
      </c>
      <c r="D313" s="101" t="s">
        <v>491</v>
      </c>
      <c r="E313" s="114" t="s">
        <v>793</v>
      </c>
    </row>
    <row r="314" spans="2:5">
      <c r="B314" s="113">
        <v>406</v>
      </c>
      <c r="D314" s="101" t="s">
        <v>492</v>
      </c>
      <c r="E314" s="114" t="s">
        <v>793</v>
      </c>
    </row>
    <row r="315" spans="2:5">
      <c r="B315" s="113">
        <v>407</v>
      </c>
      <c r="D315" s="101" t="s">
        <v>291</v>
      </c>
      <c r="E315" s="114" t="s">
        <v>794</v>
      </c>
    </row>
    <row r="316" spans="2:5" ht="24">
      <c r="B316" s="113">
        <v>408</v>
      </c>
      <c r="D316" s="101" t="s">
        <v>292</v>
      </c>
      <c r="E316" s="114" t="s">
        <v>795</v>
      </c>
    </row>
    <row r="317" spans="2:5">
      <c r="B317" s="113">
        <v>409</v>
      </c>
      <c r="D317" s="101" t="s">
        <v>293</v>
      </c>
      <c r="E317" s="114" t="s">
        <v>796</v>
      </c>
    </row>
    <row r="318" spans="2:5" ht="24">
      <c r="B318" s="113">
        <v>410</v>
      </c>
      <c r="D318" s="101" t="s">
        <v>294</v>
      </c>
      <c r="E318" s="114" t="s">
        <v>797</v>
      </c>
    </row>
    <row r="319" spans="2:5">
      <c r="B319" s="113">
        <v>411</v>
      </c>
      <c r="D319" s="101" t="s">
        <v>493</v>
      </c>
      <c r="E319" s="114" t="s">
        <v>798</v>
      </c>
    </row>
    <row r="320" spans="2:5" ht="24">
      <c r="B320" s="113">
        <v>412</v>
      </c>
      <c r="D320" s="101" t="s">
        <v>494</v>
      </c>
      <c r="E320" s="114" t="s">
        <v>799</v>
      </c>
    </row>
    <row r="321" spans="1:6">
      <c r="B321" s="113">
        <v>413</v>
      </c>
      <c r="D321" s="101" t="s">
        <v>295</v>
      </c>
      <c r="E321" s="114" t="s">
        <v>800</v>
      </c>
    </row>
    <row r="322" spans="1:6" ht="24">
      <c r="B322" s="113">
        <v>414</v>
      </c>
      <c r="D322" s="101" t="s">
        <v>296</v>
      </c>
      <c r="E322" s="114" t="s">
        <v>801</v>
      </c>
    </row>
    <row r="323" spans="1:6">
      <c r="B323" s="113">
        <v>415</v>
      </c>
      <c r="D323" s="101" t="s">
        <v>297</v>
      </c>
      <c r="E323" s="114" t="s">
        <v>802</v>
      </c>
    </row>
    <row r="324" spans="1:6" ht="36">
      <c r="B324" s="113">
        <v>416</v>
      </c>
      <c r="D324" s="101" t="s">
        <v>298</v>
      </c>
      <c r="E324" s="114" t="s">
        <v>803</v>
      </c>
    </row>
    <row r="325" spans="1:6">
      <c r="B325" s="113">
        <v>417</v>
      </c>
      <c r="D325" s="101" t="s">
        <v>299</v>
      </c>
      <c r="E325" s="114" t="s">
        <v>804</v>
      </c>
    </row>
    <row r="326" spans="1:6" ht="24">
      <c r="B326" s="113">
        <v>418</v>
      </c>
      <c r="D326" s="101" t="s">
        <v>300</v>
      </c>
      <c r="E326" s="114" t="s">
        <v>805</v>
      </c>
    </row>
    <row r="327" spans="1:6" ht="24">
      <c r="B327" s="113">
        <v>419</v>
      </c>
      <c r="D327" s="101" t="s">
        <v>301</v>
      </c>
      <c r="E327" s="114" t="s">
        <v>806</v>
      </c>
    </row>
    <row r="328" spans="1:6" ht="24">
      <c r="B328" s="113">
        <v>420</v>
      </c>
      <c r="D328" s="101" t="s">
        <v>302</v>
      </c>
      <c r="E328" s="114" t="s">
        <v>807</v>
      </c>
    </row>
    <row r="329" spans="1:6">
      <c r="B329" s="113">
        <v>421</v>
      </c>
      <c r="D329" s="101" t="s">
        <v>303</v>
      </c>
      <c r="E329" s="114" t="s">
        <v>808</v>
      </c>
    </row>
    <row r="330" spans="1:6">
      <c r="B330" s="113">
        <v>422</v>
      </c>
      <c r="D330" s="101" t="s">
        <v>304</v>
      </c>
      <c r="E330" s="114" t="s">
        <v>809</v>
      </c>
    </row>
    <row r="331" spans="1:6">
      <c r="B331" s="113">
        <v>423</v>
      </c>
      <c r="D331" s="101" t="s">
        <v>305</v>
      </c>
      <c r="E331" s="114" t="s">
        <v>810</v>
      </c>
    </row>
    <row r="332" spans="1:6">
      <c r="B332" s="113">
        <v>424</v>
      </c>
      <c r="D332" s="101" t="s">
        <v>306</v>
      </c>
      <c r="E332" s="114" t="s">
        <v>811</v>
      </c>
    </row>
    <row r="333" spans="1:6">
      <c r="B333" s="113">
        <v>425</v>
      </c>
      <c r="D333" s="101" t="s">
        <v>307</v>
      </c>
      <c r="E333" s="114" t="s">
        <v>812</v>
      </c>
    </row>
    <row r="334" spans="1:6">
      <c r="B334" s="113">
        <v>426</v>
      </c>
      <c r="D334" s="101" t="s">
        <v>308</v>
      </c>
      <c r="E334" s="114" t="s">
        <v>813</v>
      </c>
    </row>
    <row r="335" spans="1:6">
      <c r="B335" s="113">
        <v>427</v>
      </c>
      <c r="D335" s="101" t="s">
        <v>495</v>
      </c>
      <c r="E335" s="114" t="s">
        <v>814</v>
      </c>
    </row>
    <row r="336" spans="1:6" ht="38.25">
      <c r="A336" s="108"/>
      <c r="B336" s="113">
        <v>428</v>
      </c>
      <c r="C336" s="111" t="s">
        <v>920</v>
      </c>
      <c r="D336" s="108" t="s">
        <v>956</v>
      </c>
      <c r="E336" s="108" t="s">
        <v>957</v>
      </c>
      <c r="F336" s="109"/>
    </row>
    <row r="337" spans="2:5" ht="36">
      <c r="B337" s="113">
        <v>429</v>
      </c>
      <c r="D337" s="101" t="s">
        <v>309</v>
      </c>
      <c r="E337" s="114" t="s">
        <v>815</v>
      </c>
    </row>
    <row r="338" spans="2:5">
      <c r="B338" s="113">
        <v>430</v>
      </c>
      <c r="D338" s="101" t="s">
        <v>310</v>
      </c>
      <c r="E338" s="114" t="s">
        <v>816</v>
      </c>
    </row>
    <row r="339" spans="2:5">
      <c r="B339" s="113">
        <v>431</v>
      </c>
      <c r="D339" s="101" t="s">
        <v>311</v>
      </c>
      <c r="E339" s="114" t="s">
        <v>817</v>
      </c>
    </row>
    <row r="340" spans="2:5">
      <c r="B340" s="113">
        <v>432</v>
      </c>
      <c r="D340" s="101" t="s">
        <v>312</v>
      </c>
      <c r="E340" s="114" t="s">
        <v>818</v>
      </c>
    </row>
    <row r="341" spans="2:5" ht="24">
      <c r="B341" s="113">
        <v>433</v>
      </c>
      <c r="D341" s="101" t="s">
        <v>313</v>
      </c>
      <c r="E341" s="114" t="s">
        <v>819</v>
      </c>
    </row>
    <row r="342" spans="2:5">
      <c r="B342" s="113">
        <v>434</v>
      </c>
      <c r="D342" s="101" t="s">
        <v>314</v>
      </c>
      <c r="E342" s="114" t="s">
        <v>820</v>
      </c>
    </row>
    <row r="343" spans="2:5">
      <c r="B343" s="113">
        <v>435</v>
      </c>
      <c r="D343" s="101" t="s">
        <v>315</v>
      </c>
      <c r="E343" s="114" t="s">
        <v>821</v>
      </c>
    </row>
    <row r="344" spans="2:5">
      <c r="B344" s="113">
        <v>436</v>
      </c>
      <c r="D344" s="101" t="s">
        <v>316</v>
      </c>
      <c r="E344" s="114" t="s">
        <v>822</v>
      </c>
    </row>
    <row r="345" spans="2:5">
      <c r="B345" s="113">
        <v>437</v>
      </c>
      <c r="D345" s="101" t="s">
        <v>317</v>
      </c>
      <c r="E345" s="114" t="s">
        <v>823</v>
      </c>
    </row>
    <row r="346" spans="2:5">
      <c r="B346" s="113">
        <v>438</v>
      </c>
      <c r="D346" s="101" t="s">
        <v>496</v>
      </c>
      <c r="E346" s="114" t="s">
        <v>824</v>
      </c>
    </row>
    <row r="347" spans="2:5">
      <c r="B347" s="113">
        <v>439</v>
      </c>
      <c r="D347" s="101" t="s">
        <v>318</v>
      </c>
      <c r="E347" s="114" t="s">
        <v>825</v>
      </c>
    </row>
    <row r="348" spans="2:5">
      <c r="B348" s="113">
        <v>440</v>
      </c>
      <c r="D348" s="101" t="s">
        <v>497</v>
      </c>
      <c r="E348" s="114" t="s">
        <v>826</v>
      </c>
    </row>
    <row r="349" spans="2:5" ht="24">
      <c r="B349" s="113">
        <v>441</v>
      </c>
      <c r="D349" s="101" t="s">
        <v>319</v>
      </c>
      <c r="E349" s="114" t="s">
        <v>827</v>
      </c>
    </row>
    <row r="350" spans="2:5">
      <c r="B350" s="113">
        <v>442</v>
      </c>
      <c r="D350" s="101" t="s">
        <v>320</v>
      </c>
      <c r="E350" s="114" t="s">
        <v>828</v>
      </c>
    </row>
    <row r="351" spans="2:5">
      <c r="B351" s="113">
        <v>443</v>
      </c>
      <c r="D351" s="101" t="s">
        <v>321</v>
      </c>
      <c r="E351" s="114" t="s">
        <v>829</v>
      </c>
    </row>
    <row r="352" spans="2:5">
      <c r="B352" s="113">
        <v>444</v>
      </c>
      <c r="D352" s="101" t="s">
        <v>322</v>
      </c>
      <c r="E352" s="114" t="s">
        <v>830</v>
      </c>
    </row>
    <row r="353" spans="2:5" ht="36">
      <c r="B353" s="113">
        <v>445</v>
      </c>
      <c r="D353" s="101" t="s">
        <v>389</v>
      </c>
      <c r="E353" s="114" t="s">
        <v>831</v>
      </c>
    </row>
    <row r="354" spans="2:5">
      <c r="B354" s="113">
        <v>446</v>
      </c>
      <c r="D354" s="101" t="s">
        <v>323</v>
      </c>
      <c r="E354" s="114" t="s">
        <v>832</v>
      </c>
    </row>
    <row r="355" spans="2:5">
      <c r="B355" s="113">
        <v>447</v>
      </c>
      <c r="D355" s="101" t="s">
        <v>324</v>
      </c>
      <c r="E355" s="114" t="s">
        <v>833</v>
      </c>
    </row>
    <row r="356" spans="2:5">
      <c r="B356" s="113">
        <v>448</v>
      </c>
      <c r="D356" s="101" t="s">
        <v>325</v>
      </c>
      <c r="E356" s="114" t="s">
        <v>834</v>
      </c>
    </row>
    <row r="357" spans="2:5">
      <c r="B357" s="113">
        <v>449</v>
      </c>
      <c r="D357" s="101" t="s">
        <v>326</v>
      </c>
      <c r="E357" s="114" t="s">
        <v>835</v>
      </c>
    </row>
    <row r="358" spans="2:5">
      <c r="B358" s="113">
        <v>450</v>
      </c>
      <c r="D358" s="101" t="s">
        <v>327</v>
      </c>
      <c r="E358" s="114" t="s">
        <v>836</v>
      </c>
    </row>
    <row r="359" spans="2:5" ht="24">
      <c r="B359" s="113">
        <v>451</v>
      </c>
      <c r="D359" s="101" t="s">
        <v>328</v>
      </c>
      <c r="E359" s="114" t="s">
        <v>837</v>
      </c>
    </row>
    <row r="360" spans="2:5">
      <c r="B360" s="113">
        <v>452</v>
      </c>
      <c r="D360" s="101" t="s">
        <v>329</v>
      </c>
      <c r="E360" s="114" t="s">
        <v>838</v>
      </c>
    </row>
    <row r="361" spans="2:5">
      <c r="B361" s="113">
        <v>453</v>
      </c>
      <c r="D361" s="101" t="s">
        <v>330</v>
      </c>
      <c r="E361" s="114" t="s">
        <v>839</v>
      </c>
    </row>
    <row r="362" spans="2:5">
      <c r="B362" s="113">
        <v>454</v>
      </c>
      <c r="D362" s="101" t="s">
        <v>331</v>
      </c>
      <c r="E362" s="114" t="s">
        <v>840</v>
      </c>
    </row>
    <row r="363" spans="2:5" ht="24">
      <c r="B363" s="113">
        <v>455</v>
      </c>
      <c r="D363" s="101" t="s">
        <v>498</v>
      </c>
      <c r="E363" s="114" t="s">
        <v>841</v>
      </c>
    </row>
    <row r="364" spans="2:5">
      <c r="B364" s="113">
        <v>456</v>
      </c>
      <c r="D364" s="101" t="s">
        <v>332</v>
      </c>
      <c r="E364" s="114" t="s">
        <v>577</v>
      </c>
    </row>
    <row r="365" spans="2:5">
      <c r="B365" s="113">
        <v>457</v>
      </c>
      <c r="D365" s="101" t="s">
        <v>333</v>
      </c>
      <c r="E365" s="114" t="s">
        <v>842</v>
      </c>
    </row>
    <row r="366" spans="2:5">
      <c r="B366" s="113">
        <v>458</v>
      </c>
      <c r="D366" s="101" t="s">
        <v>334</v>
      </c>
      <c r="E366" s="114" t="s">
        <v>843</v>
      </c>
    </row>
    <row r="367" spans="2:5">
      <c r="B367" s="113">
        <v>459</v>
      </c>
      <c r="D367" s="101" t="s">
        <v>499</v>
      </c>
      <c r="E367" s="114" t="s">
        <v>844</v>
      </c>
    </row>
    <row r="368" spans="2:5" ht="36">
      <c r="B368" s="113">
        <v>460</v>
      </c>
      <c r="D368" s="101" t="s">
        <v>500</v>
      </c>
      <c r="E368" s="114" t="s">
        <v>845</v>
      </c>
    </row>
    <row r="369" spans="1:6">
      <c r="B369" s="113">
        <v>461</v>
      </c>
      <c r="D369" s="101" t="s">
        <v>335</v>
      </c>
      <c r="E369" s="114" t="s">
        <v>578</v>
      </c>
    </row>
    <row r="370" spans="1:6">
      <c r="B370" s="113">
        <v>462</v>
      </c>
      <c r="D370" s="101" t="s">
        <v>336</v>
      </c>
      <c r="E370" s="114" t="s">
        <v>846</v>
      </c>
    </row>
    <row r="371" spans="1:6">
      <c r="B371" s="113">
        <v>463</v>
      </c>
      <c r="D371" s="101" t="s">
        <v>337</v>
      </c>
      <c r="E371" s="114" t="s">
        <v>847</v>
      </c>
    </row>
    <row r="372" spans="1:6" ht="36">
      <c r="B372" s="113">
        <v>464</v>
      </c>
      <c r="D372" s="101" t="s">
        <v>338</v>
      </c>
      <c r="E372" s="114" t="s">
        <v>848</v>
      </c>
    </row>
    <row r="373" spans="1:6">
      <c r="B373" s="113">
        <v>465</v>
      </c>
      <c r="D373" s="101" t="s">
        <v>339</v>
      </c>
      <c r="E373" s="114" t="s">
        <v>849</v>
      </c>
    </row>
    <row r="374" spans="1:6">
      <c r="A374" s="103"/>
      <c r="B374" s="113">
        <v>466</v>
      </c>
      <c r="C374" s="112" t="s">
        <v>509</v>
      </c>
      <c r="D374" s="102" t="s">
        <v>900</v>
      </c>
      <c r="E374" s="102" t="s">
        <v>958</v>
      </c>
      <c r="F374" s="104"/>
    </row>
    <row r="375" spans="1:6">
      <c r="A375" s="103"/>
      <c r="B375" s="113">
        <v>467</v>
      </c>
      <c r="C375" s="112" t="s">
        <v>509</v>
      </c>
      <c r="D375" s="102" t="s">
        <v>959</v>
      </c>
      <c r="E375" s="102" t="s">
        <v>901</v>
      </c>
      <c r="F375" s="104"/>
    </row>
    <row r="376" spans="1:6" ht="12.75">
      <c r="B376" s="113">
        <v>468</v>
      </c>
      <c r="D376" s="101" t="s">
        <v>340</v>
      </c>
      <c r="E376" s="122" t="s">
        <v>907</v>
      </c>
    </row>
    <row r="377" spans="1:6">
      <c r="B377" s="113">
        <v>469</v>
      </c>
      <c r="D377" s="101" t="s">
        <v>341</v>
      </c>
      <c r="E377" s="114" t="s">
        <v>850</v>
      </c>
    </row>
    <row r="378" spans="1:6">
      <c r="B378" s="113">
        <v>470</v>
      </c>
      <c r="D378" s="101" t="s">
        <v>342</v>
      </c>
      <c r="E378" s="114" t="s">
        <v>579</v>
      </c>
    </row>
    <row r="379" spans="1:6" ht="24">
      <c r="B379" s="113">
        <v>471</v>
      </c>
      <c r="D379" s="101" t="s">
        <v>343</v>
      </c>
      <c r="E379" s="114" t="s">
        <v>851</v>
      </c>
    </row>
    <row r="380" spans="1:6">
      <c r="B380" s="113">
        <v>472</v>
      </c>
      <c r="D380" s="101" t="s">
        <v>344</v>
      </c>
      <c r="E380" s="114" t="s">
        <v>580</v>
      </c>
    </row>
    <row r="381" spans="1:6" ht="24">
      <c r="B381" s="113">
        <v>473</v>
      </c>
      <c r="D381" s="101" t="s">
        <v>345</v>
      </c>
      <c r="E381" s="114" t="s">
        <v>852</v>
      </c>
    </row>
    <row r="382" spans="1:6">
      <c r="B382" s="113">
        <v>474</v>
      </c>
      <c r="D382" s="101" t="s">
        <v>346</v>
      </c>
      <c r="E382" s="114" t="s">
        <v>581</v>
      </c>
    </row>
    <row r="383" spans="1:6">
      <c r="B383" s="113">
        <v>475</v>
      </c>
      <c r="D383" s="101" t="s">
        <v>347</v>
      </c>
      <c r="E383" s="114" t="s">
        <v>853</v>
      </c>
    </row>
    <row r="384" spans="1:6">
      <c r="B384" s="113">
        <v>476</v>
      </c>
      <c r="D384" s="101" t="s">
        <v>348</v>
      </c>
      <c r="E384" s="114" t="s">
        <v>854</v>
      </c>
    </row>
    <row r="385" spans="2:5">
      <c r="B385" s="113">
        <v>477</v>
      </c>
      <c r="D385" s="101" t="s">
        <v>349</v>
      </c>
      <c r="E385" s="114" t="s">
        <v>855</v>
      </c>
    </row>
    <row r="386" spans="2:5">
      <c r="B386" s="113">
        <v>478</v>
      </c>
      <c r="D386" s="101" t="s">
        <v>350</v>
      </c>
      <c r="E386" s="114" t="s">
        <v>856</v>
      </c>
    </row>
    <row r="387" spans="2:5">
      <c r="B387" s="113">
        <v>479</v>
      </c>
      <c r="D387" s="101" t="s">
        <v>351</v>
      </c>
      <c r="E387" s="114" t="s">
        <v>857</v>
      </c>
    </row>
    <row r="388" spans="2:5">
      <c r="B388" s="113">
        <v>480</v>
      </c>
      <c r="D388" s="101" t="s">
        <v>352</v>
      </c>
      <c r="E388" s="114" t="s">
        <v>352</v>
      </c>
    </row>
    <row r="389" spans="2:5">
      <c r="B389" s="113">
        <v>481</v>
      </c>
      <c r="D389" s="101" t="s">
        <v>501</v>
      </c>
      <c r="E389" s="114" t="s">
        <v>858</v>
      </c>
    </row>
    <row r="390" spans="2:5" ht="24">
      <c r="B390" s="113">
        <v>482</v>
      </c>
      <c r="D390" s="101" t="s">
        <v>353</v>
      </c>
      <c r="E390" s="114" t="s">
        <v>859</v>
      </c>
    </row>
    <row r="391" spans="2:5">
      <c r="B391" s="113">
        <v>483</v>
      </c>
      <c r="D391" s="101" t="s">
        <v>354</v>
      </c>
      <c r="E391" s="114" t="s">
        <v>354</v>
      </c>
    </row>
    <row r="392" spans="2:5">
      <c r="B392" s="113">
        <v>484</v>
      </c>
      <c r="D392" s="101" t="s">
        <v>502</v>
      </c>
    </row>
    <row r="393" spans="2:5">
      <c r="B393" s="113">
        <v>485</v>
      </c>
      <c r="D393" s="101" t="s">
        <v>355</v>
      </c>
      <c r="E393" s="114" t="s">
        <v>582</v>
      </c>
    </row>
    <row r="394" spans="2:5">
      <c r="B394" s="113">
        <v>486</v>
      </c>
      <c r="D394" s="101" t="s">
        <v>503</v>
      </c>
      <c r="E394" s="114" t="s">
        <v>583</v>
      </c>
    </row>
    <row r="395" spans="2:5">
      <c r="B395" s="113">
        <v>487</v>
      </c>
      <c r="D395" s="101" t="s">
        <v>504</v>
      </c>
      <c r="E395" s="114" t="s">
        <v>584</v>
      </c>
    </row>
    <row r="396" spans="2:5">
      <c r="B396" s="113">
        <v>488</v>
      </c>
      <c r="D396" s="101" t="s">
        <v>505</v>
      </c>
      <c r="E396" s="114" t="s">
        <v>583</v>
      </c>
    </row>
    <row r="397" spans="2:5">
      <c r="B397" s="113">
        <v>489</v>
      </c>
      <c r="D397" s="101" t="s">
        <v>356</v>
      </c>
      <c r="E397" s="114" t="s">
        <v>585</v>
      </c>
    </row>
    <row r="398" spans="2:5">
      <c r="B398" s="113">
        <v>490</v>
      </c>
      <c r="D398" s="101" t="s">
        <v>357</v>
      </c>
      <c r="E398" s="114" t="s">
        <v>860</v>
      </c>
    </row>
    <row r="399" spans="2:5">
      <c r="B399" s="113">
        <v>491</v>
      </c>
      <c r="D399" s="101" t="s">
        <v>358</v>
      </c>
      <c r="E399" s="114" t="s">
        <v>861</v>
      </c>
    </row>
    <row r="400" spans="2:5">
      <c r="B400" s="113">
        <v>492</v>
      </c>
      <c r="D400" s="101" t="s">
        <v>359</v>
      </c>
      <c r="E400" s="114" t="s">
        <v>586</v>
      </c>
    </row>
    <row r="401" spans="1:6">
      <c r="B401" s="113">
        <v>493</v>
      </c>
      <c r="D401" s="101" t="s">
        <v>360</v>
      </c>
    </row>
    <row r="402" spans="1:6">
      <c r="B402" s="113">
        <v>494</v>
      </c>
      <c r="D402" s="101" t="s">
        <v>361</v>
      </c>
    </row>
    <row r="403" spans="1:6">
      <c r="B403" s="113">
        <v>495</v>
      </c>
      <c r="D403" s="101" t="s">
        <v>362</v>
      </c>
      <c r="E403" s="114" t="s">
        <v>862</v>
      </c>
    </row>
    <row r="404" spans="1:6">
      <c r="B404" s="113">
        <v>496</v>
      </c>
      <c r="D404" s="101" t="s">
        <v>506</v>
      </c>
      <c r="E404" s="114" t="s">
        <v>863</v>
      </c>
    </row>
    <row r="405" spans="1:6">
      <c r="B405" s="113">
        <v>497</v>
      </c>
      <c r="D405" s="101" t="s">
        <v>363</v>
      </c>
      <c r="E405" s="114" t="s">
        <v>864</v>
      </c>
    </row>
    <row r="406" spans="1:6">
      <c r="B406" s="113">
        <v>498</v>
      </c>
      <c r="D406" s="101" t="s">
        <v>429</v>
      </c>
      <c r="E406" s="114" t="s">
        <v>865</v>
      </c>
    </row>
    <row r="407" spans="1:6">
      <c r="B407" s="113">
        <v>499</v>
      </c>
      <c r="D407" s="101" t="s">
        <v>364</v>
      </c>
      <c r="E407" s="114" t="s">
        <v>864</v>
      </c>
    </row>
    <row r="408" spans="1:6" ht="25.5">
      <c r="A408" s="108"/>
      <c r="B408" s="113">
        <v>500</v>
      </c>
      <c r="C408" s="108"/>
      <c r="D408" s="108" t="s">
        <v>960</v>
      </c>
      <c r="E408" s="108" t="s">
        <v>961</v>
      </c>
      <c r="F408" s="109"/>
    </row>
    <row r="409" spans="1:6">
      <c r="B409" s="113">
        <v>501</v>
      </c>
      <c r="D409" s="101" t="s">
        <v>365</v>
      </c>
      <c r="E409" s="114" t="s">
        <v>365</v>
      </c>
    </row>
    <row r="410" spans="1:6">
      <c r="B410" s="113">
        <v>502</v>
      </c>
      <c r="D410" s="101" t="s">
        <v>366</v>
      </c>
      <c r="E410" s="114" t="s">
        <v>866</v>
      </c>
    </row>
    <row r="411" spans="1:6">
      <c r="B411" s="113">
        <v>503</v>
      </c>
      <c r="D411" s="101" t="s">
        <v>367</v>
      </c>
      <c r="E411" s="114" t="s">
        <v>867</v>
      </c>
    </row>
    <row r="412" spans="1:6">
      <c r="B412" s="113">
        <v>504</v>
      </c>
      <c r="D412" s="101" t="s">
        <v>507</v>
      </c>
      <c r="E412" s="114" t="s">
        <v>868</v>
      </c>
    </row>
    <row r="413" spans="1:6">
      <c r="B413" s="113">
        <v>505</v>
      </c>
      <c r="D413" s="101" t="s">
        <v>368</v>
      </c>
      <c r="E413" s="114" t="s">
        <v>869</v>
      </c>
    </row>
    <row r="414" spans="1:6">
      <c r="B414" s="113">
        <v>506</v>
      </c>
      <c r="D414" s="101" t="s">
        <v>369</v>
      </c>
      <c r="E414" s="114" t="s">
        <v>870</v>
      </c>
    </row>
    <row r="415" spans="1:6">
      <c r="B415" s="113">
        <v>507</v>
      </c>
      <c r="D415" s="101" t="s">
        <v>370</v>
      </c>
      <c r="E415" s="114" t="s">
        <v>871</v>
      </c>
    </row>
    <row r="416" spans="1:6">
      <c r="B416" s="113">
        <v>508</v>
      </c>
      <c r="D416" s="101" t="s">
        <v>508</v>
      </c>
      <c r="E416" s="114" t="s">
        <v>872</v>
      </c>
    </row>
    <row r="417" spans="1:6" ht="24">
      <c r="B417" s="113">
        <v>509</v>
      </c>
      <c r="D417" s="101" t="s">
        <v>371</v>
      </c>
      <c r="E417" s="114" t="s">
        <v>873</v>
      </c>
    </row>
    <row r="418" spans="1:6">
      <c r="B418" s="113">
        <v>510</v>
      </c>
      <c r="D418" s="101" t="s">
        <v>372</v>
      </c>
      <c r="E418" s="114" t="s">
        <v>871</v>
      </c>
    </row>
    <row r="419" spans="1:6">
      <c r="B419" s="113">
        <v>511</v>
      </c>
      <c r="D419" s="101" t="s">
        <v>373</v>
      </c>
      <c r="E419" s="114" t="s">
        <v>874</v>
      </c>
    </row>
    <row r="420" spans="1:6">
      <c r="B420" s="113">
        <v>512</v>
      </c>
      <c r="D420" s="101" t="s">
        <v>374</v>
      </c>
      <c r="E420" s="114" t="s">
        <v>875</v>
      </c>
    </row>
    <row r="421" spans="1:6">
      <c r="B421" s="113">
        <v>513</v>
      </c>
      <c r="D421" s="101" t="s">
        <v>375</v>
      </c>
      <c r="E421" s="114" t="s">
        <v>876</v>
      </c>
    </row>
    <row r="422" spans="1:6" s="108" customFormat="1" ht="12.75">
      <c r="A422" s="100"/>
      <c r="B422" s="113">
        <v>514</v>
      </c>
      <c r="C422" s="110"/>
      <c r="D422" s="101" t="s">
        <v>376</v>
      </c>
      <c r="E422" s="114" t="s">
        <v>877</v>
      </c>
      <c r="F422" s="100"/>
    </row>
    <row r="423" spans="1:6" s="108" customFormat="1" ht="12.75">
      <c r="A423" s="100"/>
      <c r="B423" s="113">
        <v>515</v>
      </c>
      <c r="C423" s="110"/>
      <c r="D423" s="101" t="s">
        <v>377</v>
      </c>
      <c r="E423" s="114" t="s">
        <v>878</v>
      </c>
      <c r="F423" s="100"/>
    </row>
    <row r="424" spans="1:6" s="103" customFormat="1">
      <c r="A424" s="100"/>
      <c r="B424" s="113">
        <v>516</v>
      </c>
      <c r="C424" s="110"/>
      <c r="D424" s="101" t="s">
        <v>378</v>
      </c>
      <c r="E424" s="114" t="s">
        <v>870</v>
      </c>
      <c r="F424" s="100"/>
    </row>
    <row r="425" spans="1:6" s="103" customFormat="1" ht="24">
      <c r="A425" s="100"/>
      <c r="B425" s="113">
        <v>517</v>
      </c>
      <c r="C425" s="110"/>
      <c r="D425" s="101" t="s">
        <v>379</v>
      </c>
      <c r="E425" s="114" t="s">
        <v>879</v>
      </c>
      <c r="F425" s="100"/>
    </row>
    <row r="426" spans="1:6" s="103" customFormat="1" ht="36">
      <c r="A426" s="100"/>
      <c r="B426" s="113">
        <v>518</v>
      </c>
      <c r="C426" s="110"/>
      <c r="D426" s="101" t="s">
        <v>380</v>
      </c>
      <c r="E426" s="114" t="s">
        <v>880</v>
      </c>
      <c r="F426" s="100"/>
    </row>
    <row r="427" spans="1:6" s="103" customFormat="1">
      <c r="A427" s="100"/>
      <c r="B427" s="113">
        <v>519</v>
      </c>
      <c r="C427" s="110"/>
      <c r="D427" s="101" t="s">
        <v>381</v>
      </c>
      <c r="E427" s="114" t="s">
        <v>881</v>
      </c>
      <c r="F427" s="100"/>
    </row>
    <row r="428" spans="1:6" s="103" customFormat="1" ht="36">
      <c r="A428" s="100"/>
      <c r="B428" s="113">
        <v>520</v>
      </c>
      <c r="C428" s="110"/>
      <c r="D428" s="101" t="s">
        <v>382</v>
      </c>
      <c r="E428" s="114" t="s">
        <v>882</v>
      </c>
      <c r="F428" s="100"/>
    </row>
    <row r="429" spans="1:6" s="103" customFormat="1">
      <c r="A429" s="100"/>
      <c r="B429" s="113">
        <v>521</v>
      </c>
      <c r="C429" s="110"/>
      <c r="D429" s="101" t="s">
        <v>383</v>
      </c>
      <c r="E429" s="114" t="s">
        <v>883</v>
      </c>
      <c r="F429" s="100"/>
    </row>
    <row r="430" spans="1:6" s="103" customFormat="1">
      <c r="A430" s="100"/>
      <c r="B430" s="113">
        <v>522</v>
      </c>
      <c r="C430" s="110"/>
      <c r="D430" s="101" t="s">
        <v>384</v>
      </c>
      <c r="E430" s="114" t="s">
        <v>884</v>
      </c>
      <c r="F430" s="100"/>
    </row>
    <row r="431" spans="1:6" s="103" customFormat="1">
      <c r="A431" s="100"/>
      <c r="B431" s="113">
        <v>523</v>
      </c>
      <c r="C431" s="110"/>
      <c r="D431" s="101" t="s">
        <v>385</v>
      </c>
      <c r="E431" s="114" t="s">
        <v>885</v>
      </c>
      <c r="F431" s="100"/>
    </row>
    <row r="432" spans="1:6" s="103" customFormat="1">
      <c r="A432" s="100"/>
      <c r="B432" s="113">
        <v>524</v>
      </c>
      <c r="C432" s="110"/>
      <c r="D432" s="101" t="s">
        <v>386</v>
      </c>
      <c r="E432" s="114" t="s">
        <v>886</v>
      </c>
      <c r="F432" s="100"/>
    </row>
    <row r="433" spans="1:6" s="103" customFormat="1">
      <c r="A433" s="100"/>
      <c r="B433" s="113">
        <v>525</v>
      </c>
      <c r="C433" s="110"/>
      <c r="D433" s="101" t="s">
        <v>387</v>
      </c>
      <c r="E433" s="114" t="s">
        <v>887</v>
      </c>
      <c r="F433" s="100"/>
    </row>
    <row r="434" spans="1:6" s="103" customFormat="1">
      <c r="A434" s="100"/>
      <c r="B434" s="113">
        <v>526</v>
      </c>
      <c r="C434" s="110"/>
      <c r="D434" s="101" t="s">
        <v>388</v>
      </c>
      <c r="E434" s="114" t="s">
        <v>888</v>
      </c>
      <c r="F434" s="100"/>
    </row>
    <row r="435" spans="1:6">
      <c r="B435" s="113">
        <v>527</v>
      </c>
      <c r="D435" s="101" t="s">
        <v>963</v>
      </c>
      <c r="E435" s="114"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0"/>
  <sheetViews>
    <sheetView topLeftCell="A94" zoomScale="85" zoomScaleNormal="85" workbookViewId="0">
      <selection activeCell="H177" sqref="H177"/>
    </sheetView>
  </sheetViews>
  <sheetFormatPr defaultColWidth="9.75" defaultRowHeight="14.25"/>
  <cols>
    <col min="1" max="1" width="9.75" style="77"/>
    <col min="2" max="2" width="9.75" style="78"/>
    <col min="3" max="4" width="9.75" style="79"/>
    <col min="5" max="5" width="9.75" style="78"/>
    <col min="6" max="16384" width="9.75" style="76"/>
  </cols>
  <sheetData>
    <row r="1" spans="1:8">
      <c r="A1" s="73" t="s">
        <v>390</v>
      </c>
      <c r="B1" s="73" t="s">
        <v>391</v>
      </c>
      <c r="C1" s="74" t="s">
        <v>392</v>
      </c>
      <c r="D1" s="74" t="s">
        <v>393</v>
      </c>
      <c r="E1" s="73" t="s">
        <v>394</v>
      </c>
      <c r="F1" s="75" t="s">
        <v>395</v>
      </c>
      <c r="G1" s="75" t="s">
        <v>396</v>
      </c>
      <c r="H1" s="75" t="s">
        <v>397</v>
      </c>
    </row>
    <row r="2" spans="1:8">
      <c r="A2" s="77">
        <v>1.1000000000000001</v>
      </c>
      <c r="B2" s="78" t="s">
        <v>1077</v>
      </c>
      <c r="C2" s="79" t="s">
        <v>1064</v>
      </c>
      <c r="D2" s="79">
        <v>43710</v>
      </c>
      <c r="E2" s="80">
        <v>43710</v>
      </c>
      <c r="F2" s="79">
        <v>43710</v>
      </c>
      <c r="G2" s="79">
        <v>43715</v>
      </c>
      <c r="H2" s="76">
        <v>1</v>
      </c>
    </row>
    <row r="3" spans="1:8">
      <c r="A3" s="77">
        <v>1.2</v>
      </c>
      <c r="B3" s="78" t="s">
        <v>1085</v>
      </c>
      <c r="C3" s="79" t="s">
        <v>1064</v>
      </c>
      <c r="D3" s="79">
        <v>43710</v>
      </c>
      <c r="E3" s="80">
        <v>43711</v>
      </c>
      <c r="F3" s="79">
        <v>43710</v>
      </c>
      <c r="G3" s="79">
        <v>43715</v>
      </c>
      <c r="H3" s="76">
        <v>2</v>
      </c>
    </row>
    <row r="4" spans="1:8">
      <c r="A4" s="77">
        <v>1.3</v>
      </c>
      <c r="B4" s="78" t="s">
        <v>1082</v>
      </c>
      <c r="C4" s="79" t="s">
        <v>1064</v>
      </c>
      <c r="D4" s="79">
        <v>43711</v>
      </c>
      <c r="E4" s="80">
        <v>43712</v>
      </c>
      <c r="F4" s="79">
        <v>43710</v>
      </c>
      <c r="G4" s="79">
        <v>43715</v>
      </c>
      <c r="H4" s="76">
        <v>2</v>
      </c>
    </row>
    <row r="5" spans="1:8">
      <c r="A5" s="77">
        <v>1.4</v>
      </c>
      <c r="B5" s="78" t="s">
        <v>1078</v>
      </c>
      <c r="C5" s="79" t="s">
        <v>1064</v>
      </c>
      <c r="D5" s="79">
        <v>43710</v>
      </c>
      <c r="E5" s="80">
        <v>43712</v>
      </c>
      <c r="F5" s="79">
        <v>43710</v>
      </c>
      <c r="G5" s="79">
        <v>43715</v>
      </c>
      <c r="H5" s="76">
        <v>3</v>
      </c>
    </row>
    <row r="6" spans="1:8">
      <c r="A6" s="77">
        <v>1.5</v>
      </c>
      <c r="B6" s="78" t="s">
        <v>1079</v>
      </c>
      <c r="C6" s="79" t="s">
        <v>1064</v>
      </c>
      <c r="D6" s="79">
        <v>43711</v>
      </c>
      <c r="E6" s="80">
        <v>43711</v>
      </c>
      <c r="F6" s="79">
        <v>43710</v>
      </c>
      <c r="G6" s="79">
        <v>43715</v>
      </c>
      <c r="H6" s="76">
        <v>1</v>
      </c>
    </row>
    <row r="7" spans="1:8">
      <c r="A7" s="77">
        <v>1.6</v>
      </c>
      <c r="B7" s="78" t="s">
        <v>1080</v>
      </c>
      <c r="C7" s="79" t="s">
        <v>1064</v>
      </c>
      <c r="D7" s="79">
        <v>43712</v>
      </c>
      <c r="E7" s="80">
        <v>43713</v>
      </c>
      <c r="F7" s="79">
        <v>43710</v>
      </c>
      <c r="G7" s="79">
        <v>43715</v>
      </c>
      <c r="H7" s="76">
        <v>2</v>
      </c>
    </row>
    <row r="8" spans="1:8">
      <c r="A8" s="77">
        <v>1.7</v>
      </c>
      <c r="B8" s="78" t="s">
        <v>1081</v>
      </c>
      <c r="C8" s="79" t="s">
        <v>1064</v>
      </c>
      <c r="D8" s="79">
        <v>43713</v>
      </c>
      <c r="E8" s="80">
        <v>43714</v>
      </c>
      <c r="F8" s="79">
        <v>43710</v>
      </c>
      <c r="G8" s="79">
        <v>43715</v>
      </c>
      <c r="H8" s="76">
        <v>2</v>
      </c>
    </row>
    <row r="9" spans="1:8">
      <c r="A9" s="77">
        <v>1.8</v>
      </c>
      <c r="B9" s="78" t="s">
        <v>1083</v>
      </c>
      <c r="C9" s="79" t="s">
        <v>1064</v>
      </c>
      <c r="D9" s="79">
        <v>43717</v>
      </c>
      <c r="E9" s="80">
        <v>43718</v>
      </c>
      <c r="F9" s="79">
        <v>43716</v>
      </c>
      <c r="G9" s="79">
        <v>43722</v>
      </c>
      <c r="H9" s="76">
        <v>2</v>
      </c>
    </row>
    <row r="10" spans="1:8">
      <c r="G10" s="76" t="s">
        <v>3</v>
      </c>
      <c r="H10" s="76">
        <f>SUM(H2:H9)</f>
        <v>15</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A126"/>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5.75" outlineLevelRow="2"/>
  <cols>
    <col min="1" max="1" width="19.875" style="203" hidden="1" customWidth="1"/>
    <col min="2" max="2" width="8.375" style="203" hidden="1" customWidth="1"/>
    <col min="3" max="3" width="9.375" style="203" hidden="1" customWidth="1"/>
    <col min="4" max="4" width="10.125" style="204" customWidth="1"/>
    <col min="5" max="10" width="2.375" style="205" customWidth="1"/>
    <col min="11" max="11" width="10.125" style="205" customWidth="1"/>
    <col min="12" max="12" width="9.75" style="205" customWidth="1"/>
    <col min="13" max="14" width="18.875" style="206" bestFit="1" customWidth="1"/>
    <col min="15" max="15" width="7.625" style="207" hidden="1" customWidth="1"/>
    <col min="16" max="16" width="7.875" style="208" customWidth="1"/>
    <col min="17" max="17" width="7.5" style="208" bestFit="1" customWidth="1"/>
    <col min="18" max="18" width="8.375" style="209" hidden="1" customWidth="1"/>
    <col min="19" max="19" width="4.25" style="209" hidden="1" customWidth="1"/>
    <col min="20" max="20" width="13.125" style="206" hidden="1" customWidth="1"/>
    <col min="21" max="21" width="13.625" style="206" hidden="1" customWidth="1"/>
    <col min="22" max="22" width="8.375" style="210" hidden="1" customWidth="1"/>
    <col min="23" max="23" width="6.625" style="211" hidden="1" customWidth="1"/>
    <col min="24" max="24" width="7.5" style="212" bestFit="1" customWidth="1"/>
    <col min="25" max="25" width="9.25" style="207" customWidth="1"/>
    <col min="26" max="26" width="11.5" style="213" customWidth="1"/>
    <col min="27" max="27" width="8.5" style="214" bestFit="1" customWidth="1"/>
    <col min="28" max="28" width="11.625" style="215" customWidth="1"/>
    <col min="29" max="56" width="1.5" style="171" customWidth="1"/>
    <col min="57" max="16384" width="10" style="171"/>
  </cols>
  <sheetData>
    <row r="1" spans="1:79" s="145" customFormat="1" ht="20.100000000000001" customHeight="1">
      <c r="A1" s="115"/>
      <c r="B1" s="134"/>
      <c r="C1" s="115"/>
      <c r="D1" s="134" t="str">
        <f ca="1">xlgantt.ProjectName()</f>
        <v>TOTI</v>
      </c>
      <c r="E1" s="135"/>
      <c r="F1" s="135"/>
      <c r="G1" s="135"/>
      <c r="H1" s="135"/>
      <c r="I1" s="135"/>
      <c r="J1" s="135"/>
      <c r="K1" s="135"/>
      <c r="L1" s="135"/>
      <c r="M1" s="135"/>
      <c r="N1" s="136"/>
      <c r="O1" s="137"/>
      <c r="P1" s="138"/>
      <c r="Q1" s="138"/>
      <c r="R1" s="139"/>
      <c r="S1" s="139"/>
      <c r="T1" s="140"/>
      <c r="U1" s="140"/>
      <c r="V1" s="134"/>
      <c r="W1" s="141"/>
      <c r="X1" s="142"/>
      <c r="Y1" s="143"/>
      <c r="Z1" s="144"/>
      <c r="AA1" s="116"/>
      <c r="AB1" s="117" t="str">
        <f ca="1">xlgantt.ProjectProgressString()</f>
        <v>2019-09-02~2019-09-27 [계획:100.00% 실적:93.81%]</v>
      </c>
      <c r="AC1" s="249" t="s">
        <v>991</v>
      </c>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row>
    <row r="2" spans="1:79" s="145" customFormat="1" ht="15" customHeight="1">
      <c r="A2" s="118"/>
      <c r="B2" s="118"/>
      <c r="C2" s="118"/>
      <c r="D2" s="255"/>
      <c r="E2" s="255"/>
      <c r="F2" s="255"/>
      <c r="G2" s="146"/>
      <c r="H2" s="147"/>
      <c r="I2" s="146"/>
      <c r="J2" s="146"/>
      <c r="K2" s="146"/>
      <c r="L2" s="146"/>
      <c r="M2" s="146"/>
      <c r="N2" s="146"/>
      <c r="O2" s="146"/>
      <c r="P2" s="146"/>
      <c r="Q2" s="146"/>
      <c r="R2" s="146"/>
      <c r="S2" s="146"/>
      <c r="T2" s="146"/>
      <c r="U2" s="146"/>
      <c r="V2" s="146"/>
      <c r="W2" s="146"/>
      <c r="X2" s="146"/>
      <c r="Y2" s="146"/>
      <c r="Z2" s="148"/>
      <c r="AA2" s="149"/>
      <c r="AB2" s="146" t="str">
        <f ca="1">xlgantt.CommentOnHeadArea()</f>
        <v>별(*)표시는 필수입력, 주황색열은 자동계산</v>
      </c>
      <c r="AC2" s="119" t="s">
        <v>1092</v>
      </c>
    </row>
    <row r="3" spans="1:79" s="150" customFormat="1" ht="20.100000000000001" customHeight="1">
      <c r="A3" s="250" t="s">
        <v>1046</v>
      </c>
      <c r="B3" s="252" t="s">
        <v>1047</v>
      </c>
      <c r="C3" s="254" t="s">
        <v>1025</v>
      </c>
      <c r="D3" s="259" t="s">
        <v>1033</v>
      </c>
      <c r="E3" s="261" t="s">
        <v>1034</v>
      </c>
      <c r="F3" s="261"/>
      <c r="G3" s="261"/>
      <c r="H3" s="261"/>
      <c r="I3" s="261"/>
      <c r="J3" s="261"/>
      <c r="K3" s="261"/>
      <c r="L3" s="256" t="s">
        <v>1031</v>
      </c>
      <c r="M3" s="256" t="s">
        <v>1050</v>
      </c>
      <c r="N3" s="256" t="s">
        <v>1035</v>
      </c>
      <c r="O3" s="257" t="s">
        <v>1058</v>
      </c>
      <c r="P3" s="258" t="s">
        <v>1052</v>
      </c>
      <c r="Q3" s="258" t="s">
        <v>1053</v>
      </c>
      <c r="R3" s="258" t="s">
        <v>1051</v>
      </c>
      <c r="S3" s="258" t="s">
        <v>1059</v>
      </c>
      <c r="T3" s="263" t="s">
        <v>1057</v>
      </c>
      <c r="U3" s="263" t="s">
        <v>1032</v>
      </c>
      <c r="V3" s="264" t="s">
        <v>1036</v>
      </c>
      <c r="W3" s="265" t="s">
        <v>1037</v>
      </c>
      <c r="X3" s="266" t="s">
        <v>1020</v>
      </c>
      <c r="Y3" s="256" t="s">
        <v>1060</v>
      </c>
      <c r="Z3" s="252" t="s">
        <v>1048</v>
      </c>
      <c r="AA3" s="267" t="s">
        <v>1054</v>
      </c>
      <c r="AB3" s="262" t="s">
        <v>1026</v>
      </c>
      <c r="AC3" s="260">
        <v>43709</v>
      </c>
      <c r="AD3" s="247"/>
      <c r="AE3" s="247"/>
      <c r="AF3" s="247"/>
      <c r="AG3" s="247"/>
      <c r="AH3" s="247"/>
      <c r="AI3" s="247"/>
      <c r="AJ3" s="247">
        <v>43716</v>
      </c>
      <c r="AK3" s="247"/>
      <c r="AL3" s="247"/>
      <c r="AM3" s="247"/>
      <c r="AN3" s="247"/>
      <c r="AO3" s="247"/>
      <c r="AP3" s="247"/>
      <c r="AQ3" s="247">
        <v>43723</v>
      </c>
      <c r="AR3" s="247"/>
      <c r="AS3" s="247"/>
      <c r="AT3" s="247"/>
      <c r="AU3" s="247"/>
      <c r="AV3" s="247"/>
      <c r="AW3" s="247"/>
      <c r="AX3" s="247">
        <v>43730</v>
      </c>
      <c r="AY3" s="247"/>
      <c r="AZ3" s="247"/>
      <c r="BA3" s="247"/>
      <c r="BB3" s="247"/>
      <c r="BC3" s="247"/>
      <c r="BD3" s="248"/>
    </row>
    <row r="4" spans="1:79" s="154" customFormat="1" ht="5.0999999999999996" customHeight="1">
      <c r="A4" s="251"/>
      <c r="B4" s="253"/>
      <c r="C4" s="250"/>
      <c r="D4" s="259"/>
      <c r="E4" s="261"/>
      <c r="F4" s="261"/>
      <c r="G4" s="261"/>
      <c r="H4" s="261"/>
      <c r="I4" s="261"/>
      <c r="J4" s="261"/>
      <c r="K4" s="261"/>
      <c r="L4" s="256"/>
      <c r="M4" s="256"/>
      <c r="N4" s="256"/>
      <c r="O4" s="257"/>
      <c r="P4" s="258"/>
      <c r="Q4" s="258"/>
      <c r="R4" s="258"/>
      <c r="S4" s="258"/>
      <c r="T4" s="263"/>
      <c r="U4" s="263"/>
      <c r="V4" s="264"/>
      <c r="W4" s="265"/>
      <c r="X4" s="266"/>
      <c r="Y4" s="256"/>
      <c r="Z4" s="252"/>
      <c r="AA4" s="267"/>
      <c r="AB4" s="262"/>
      <c r="AC4" s="151">
        <v>43709</v>
      </c>
      <c r="AD4" s="152">
        <v>43710</v>
      </c>
      <c r="AE4" s="152">
        <v>43711</v>
      </c>
      <c r="AF4" s="152">
        <v>43712</v>
      </c>
      <c r="AG4" s="152">
        <v>43713</v>
      </c>
      <c r="AH4" s="152">
        <v>43714</v>
      </c>
      <c r="AI4" s="152">
        <v>43715</v>
      </c>
      <c r="AJ4" s="152">
        <v>43716</v>
      </c>
      <c r="AK4" s="152">
        <v>43717</v>
      </c>
      <c r="AL4" s="152">
        <v>43718</v>
      </c>
      <c r="AM4" s="152">
        <v>43719</v>
      </c>
      <c r="AN4" s="152">
        <v>43720</v>
      </c>
      <c r="AO4" s="152">
        <v>43721</v>
      </c>
      <c r="AP4" s="152">
        <v>43722</v>
      </c>
      <c r="AQ4" s="152">
        <v>43723</v>
      </c>
      <c r="AR4" s="152">
        <v>43724</v>
      </c>
      <c r="AS4" s="152">
        <v>43725</v>
      </c>
      <c r="AT4" s="152">
        <v>43726</v>
      </c>
      <c r="AU4" s="152">
        <v>43727</v>
      </c>
      <c r="AV4" s="152">
        <v>43728</v>
      </c>
      <c r="AW4" s="152">
        <v>43729</v>
      </c>
      <c r="AX4" s="152">
        <v>43730</v>
      </c>
      <c r="AY4" s="152">
        <v>43731</v>
      </c>
      <c r="AZ4" s="152">
        <v>43732</v>
      </c>
      <c r="BA4" s="152">
        <v>43733</v>
      </c>
      <c r="BB4" s="152">
        <v>43734</v>
      </c>
      <c r="BC4" s="152">
        <v>43735</v>
      </c>
      <c r="BD4" s="153">
        <v>43736</v>
      </c>
      <c r="BE4" s="216"/>
    </row>
    <row r="5" spans="1:79">
      <c r="A5" s="155"/>
      <c r="B5" s="155" t="s">
        <v>983</v>
      </c>
      <c r="C5" s="155">
        <v>1</v>
      </c>
      <c r="D5" s="156" t="s">
        <v>984</v>
      </c>
      <c r="E5" s="157" t="s">
        <v>1084</v>
      </c>
      <c r="F5" s="158"/>
      <c r="G5" s="158"/>
      <c r="H5" s="158"/>
      <c r="I5" s="158"/>
      <c r="J5" s="158"/>
      <c r="K5" s="158"/>
      <c r="L5" s="158"/>
      <c r="M5" s="159">
        <v>43710</v>
      </c>
      <c r="N5" s="159">
        <v>43718</v>
      </c>
      <c r="O5" s="160"/>
      <c r="P5" s="161">
        <v>18</v>
      </c>
      <c r="Q5" s="161">
        <v>18</v>
      </c>
      <c r="R5" s="162">
        <v>7</v>
      </c>
      <c r="S5" s="162">
        <v>7</v>
      </c>
      <c r="T5" s="159"/>
      <c r="U5" s="159"/>
      <c r="V5" s="163">
        <v>0</v>
      </c>
      <c r="W5" s="164">
        <v>0</v>
      </c>
      <c r="X5" s="165"/>
      <c r="Y5" s="160"/>
      <c r="Z5" s="166"/>
      <c r="AA5" s="167">
        <v>1</v>
      </c>
      <c r="AB5" s="168">
        <v>1</v>
      </c>
      <c r="AC5" s="169"/>
      <c r="AD5" s="170"/>
      <c r="AE5" s="170"/>
      <c r="AF5" s="170"/>
      <c r="AG5" s="170"/>
      <c r="AH5" s="170"/>
      <c r="AI5" s="170"/>
      <c r="AJ5" s="170"/>
      <c r="AK5" s="170"/>
      <c r="AL5" s="170"/>
      <c r="AM5" s="170" t="str">
        <f>"" &amp; TEXT(AB5,"#0.00%") &amp; " " &amp; "프로젝트 설계" &amp; " " &amp; IF(M5="","",TEXT(M5,"M/D-")) &amp; IF(N5="","",TEXT(N5,"M/D")) &amp; " "</f>
        <v xml:space="preserve">100.00% 프로젝트 설계 9/2-9/10 </v>
      </c>
      <c r="AN5" s="170"/>
      <c r="AO5" s="170"/>
      <c r="AP5" s="170"/>
      <c r="AQ5" s="170"/>
      <c r="AR5" s="170"/>
      <c r="AS5" s="170"/>
      <c r="AT5" s="170"/>
      <c r="AU5" s="170"/>
      <c r="AV5" s="170"/>
      <c r="AW5" s="170"/>
      <c r="AX5" s="170"/>
      <c r="AY5" s="170"/>
      <c r="AZ5" s="170"/>
      <c r="BA5" s="170"/>
      <c r="BB5" s="170"/>
      <c r="BC5" s="170"/>
      <c r="BD5" s="170"/>
    </row>
    <row r="6" spans="1:79" outlineLevel="1">
      <c r="A6" s="155"/>
      <c r="B6" s="155"/>
      <c r="C6" s="155">
        <v>2</v>
      </c>
      <c r="D6" s="156" t="s">
        <v>985</v>
      </c>
      <c r="E6" s="158"/>
      <c r="F6" s="172" t="s">
        <v>1077</v>
      </c>
      <c r="G6" s="158"/>
      <c r="H6" s="158"/>
      <c r="I6" s="158"/>
      <c r="J6" s="158"/>
      <c r="K6" s="158"/>
      <c r="L6" s="158"/>
      <c r="M6" s="159">
        <v>43710</v>
      </c>
      <c r="N6" s="159">
        <v>43710</v>
      </c>
      <c r="O6" s="160"/>
      <c r="P6" s="161">
        <v>1</v>
      </c>
      <c r="Q6" s="161">
        <v>1</v>
      </c>
      <c r="R6" s="162">
        <v>1</v>
      </c>
      <c r="S6" s="162">
        <v>1</v>
      </c>
      <c r="T6" s="159"/>
      <c r="U6" s="159"/>
      <c r="V6" s="163"/>
      <c r="W6" s="164">
        <v>0</v>
      </c>
      <c r="X6" s="165">
        <v>1</v>
      </c>
      <c r="Y6" s="173" t="s">
        <v>1064</v>
      </c>
      <c r="Z6" s="166"/>
      <c r="AA6" s="167">
        <v>1</v>
      </c>
      <c r="AB6" s="168">
        <v>1</v>
      </c>
      <c r="AC6" s="169"/>
      <c r="AD6" s="170"/>
      <c r="AE6" s="170" t="str">
        <f>"" &amp; TEXT(AB6,"#0.00%") &amp; " " &amp; "주제선정" &amp; "(모두)" &amp; " " &amp; IF(M6="","",TEXT(M6,"M/D-")) &amp; IF(N6="","",TEXT(N6,"M/D")) &amp; " "</f>
        <v xml:space="preserve">100.00% 주제선정(모두) 9/2-9/2 </v>
      </c>
      <c r="AF6" s="170"/>
      <c r="AG6" s="170"/>
      <c r="AH6" s="170"/>
      <c r="AI6" s="170"/>
      <c r="AJ6" s="170"/>
      <c r="AK6" s="170"/>
      <c r="AL6" s="170"/>
      <c r="AM6" s="170"/>
      <c r="AN6" s="170"/>
      <c r="AO6" s="170"/>
      <c r="AP6" s="170"/>
      <c r="AQ6" s="170"/>
      <c r="AR6" s="170"/>
      <c r="AS6" s="170"/>
      <c r="AT6" s="170"/>
      <c r="AU6" s="170"/>
      <c r="AV6" s="170"/>
      <c r="AW6" s="170"/>
      <c r="AX6" s="170"/>
      <c r="AY6" s="170"/>
      <c r="AZ6" s="170"/>
      <c r="BA6" s="170"/>
      <c r="BB6" s="170"/>
      <c r="BC6" s="170"/>
      <c r="BD6" s="170"/>
    </row>
    <row r="7" spans="1:79" outlineLevel="1">
      <c r="A7" s="155"/>
      <c r="B7" s="155"/>
      <c r="C7" s="155">
        <v>2</v>
      </c>
      <c r="D7" s="156" t="s">
        <v>986</v>
      </c>
      <c r="E7" s="158"/>
      <c r="F7" s="157" t="s">
        <v>1085</v>
      </c>
      <c r="G7" s="158"/>
      <c r="H7" s="158"/>
      <c r="I7" s="158"/>
      <c r="J7" s="158"/>
      <c r="K7" s="158"/>
      <c r="L7" s="158"/>
      <c r="M7" s="159">
        <v>43710</v>
      </c>
      <c r="N7" s="159">
        <v>43711</v>
      </c>
      <c r="O7" s="160"/>
      <c r="P7" s="161">
        <v>2</v>
      </c>
      <c r="Q7" s="161">
        <v>2</v>
      </c>
      <c r="R7" s="162">
        <v>2</v>
      </c>
      <c r="S7" s="162">
        <v>2</v>
      </c>
      <c r="T7" s="159"/>
      <c r="U7" s="159"/>
      <c r="V7" s="163"/>
      <c r="W7" s="164">
        <v>0</v>
      </c>
      <c r="X7" s="165">
        <v>1</v>
      </c>
      <c r="Y7" s="173" t="s">
        <v>1064</v>
      </c>
      <c r="Z7" s="166"/>
      <c r="AA7" s="167">
        <v>1</v>
      </c>
      <c r="AB7" s="168">
        <v>1</v>
      </c>
      <c r="AC7" s="169"/>
      <c r="AD7" s="170"/>
      <c r="AE7" s="170"/>
      <c r="AF7" s="170" t="str">
        <f>"" &amp; TEXT(AB7,"#0.00%") &amp; " " &amp; "시스템 설계" &amp; "(모두)" &amp; " " &amp; IF(M7="","",TEXT(M7,"M/D-")) &amp; IF(N7="","",TEXT(N7,"M/D")) &amp; " "</f>
        <v xml:space="preserve">100.00% 시스템 설계(모두) 9/2-9/3 </v>
      </c>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row>
    <row r="8" spans="1:79" outlineLevel="1">
      <c r="A8" s="155"/>
      <c r="B8" s="155"/>
      <c r="C8" s="155">
        <v>2</v>
      </c>
      <c r="D8" s="156" t="s">
        <v>1086</v>
      </c>
      <c r="E8" s="158"/>
      <c r="F8" s="188" t="s">
        <v>1082</v>
      </c>
      <c r="G8" s="158"/>
      <c r="H8" s="158"/>
      <c r="I8" s="158"/>
      <c r="J8" s="158"/>
      <c r="K8" s="158"/>
      <c r="L8" s="158"/>
      <c r="M8" s="159">
        <v>43711</v>
      </c>
      <c r="N8" s="159">
        <v>43712</v>
      </c>
      <c r="O8" s="160"/>
      <c r="P8" s="161">
        <v>2</v>
      </c>
      <c r="Q8" s="161">
        <v>2</v>
      </c>
      <c r="R8" s="162">
        <v>2</v>
      </c>
      <c r="S8" s="162">
        <v>2</v>
      </c>
      <c r="T8" s="159"/>
      <c r="U8" s="159"/>
      <c r="V8" s="163"/>
      <c r="W8" s="164">
        <v>0</v>
      </c>
      <c r="X8" s="165">
        <v>1</v>
      </c>
      <c r="Y8" s="173" t="s">
        <v>1064</v>
      </c>
      <c r="Z8" s="166"/>
      <c r="AA8" s="167">
        <v>1</v>
      </c>
      <c r="AB8" s="168">
        <v>1</v>
      </c>
      <c r="AC8" s="169"/>
      <c r="AD8" s="170"/>
      <c r="AE8" s="170"/>
      <c r="AF8" s="170"/>
      <c r="AG8" s="170" t="str">
        <f>"" &amp; TEXT(AB8,"#0.00%") &amp; " " &amp; "정보구조 설계" &amp; "(모두)" &amp; " " &amp; IF(M8="","",TEXT(M8,"M/D-")) &amp; IF(N8="","",TEXT(N8,"M/D")) &amp; " "</f>
        <v xml:space="preserve">100.00% 정보구조 설계(모두) 9/3-9/4 </v>
      </c>
      <c r="AH8" s="170"/>
      <c r="AI8" s="170"/>
      <c r="AJ8" s="170"/>
      <c r="AK8" s="170"/>
      <c r="AL8" s="170"/>
      <c r="AM8" s="170"/>
      <c r="AN8" s="170"/>
      <c r="AO8" s="170"/>
      <c r="AP8" s="170"/>
      <c r="AQ8" s="170"/>
      <c r="AR8" s="170"/>
      <c r="AS8" s="170"/>
      <c r="AT8" s="170"/>
      <c r="AU8" s="170"/>
      <c r="AV8" s="170"/>
      <c r="AW8" s="170"/>
      <c r="AX8" s="170"/>
      <c r="AY8" s="170"/>
      <c r="AZ8" s="170"/>
      <c r="BA8" s="170"/>
      <c r="BB8" s="170"/>
      <c r="BC8" s="170"/>
      <c r="BD8" s="170"/>
    </row>
    <row r="9" spans="1:79" outlineLevel="1">
      <c r="A9" s="155"/>
      <c r="B9" s="155"/>
      <c r="C9" s="155">
        <v>2</v>
      </c>
      <c r="D9" s="156" t="s">
        <v>1087</v>
      </c>
      <c r="E9" s="158"/>
      <c r="F9" s="188" t="s">
        <v>1078</v>
      </c>
      <c r="G9" s="158"/>
      <c r="H9" s="158"/>
      <c r="I9" s="158"/>
      <c r="J9" s="158"/>
      <c r="K9" s="158"/>
      <c r="L9" s="158"/>
      <c r="M9" s="159">
        <v>43710</v>
      </c>
      <c r="N9" s="159">
        <v>43712</v>
      </c>
      <c r="O9" s="160"/>
      <c r="P9" s="161">
        <v>3</v>
      </c>
      <c r="Q9" s="161">
        <v>3</v>
      </c>
      <c r="R9" s="162">
        <v>3</v>
      </c>
      <c r="S9" s="162">
        <v>3</v>
      </c>
      <c r="T9" s="159"/>
      <c r="U9" s="159"/>
      <c r="V9" s="163"/>
      <c r="W9" s="164">
        <v>0</v>
      </c>
      <c r="X9" s="165">
        <v>1</v>
      </c>
      <c r="Y9" s="173" t="s">
        <v>1064</v>
      </c>
      <c r="Z9" s="166"/>
      <c r="AA9" s="167">
        <v>1</v>
      </c>
      <c r="AB9" s="168">
        <v>1</v>
      </c>
      <c r="AC9" s="169"/>
      <c r="AD9" s="170"/>
      <c r="AE9" s="170"/>
      <c r="AF9" s="170"/>
      <c r="AG9" s="170" t="str">
        <f>"" &amp; TEXT(AB9,"#0.00%") &amp; " " &amp; "기능정의서" &amp; "(모두)" &amp; " " &amp; IF(M9="","",TEXT(M9,"M/D-")) &amp; IF(N9="","",TEXT(N9,"M/D")) &amp; " "</f>
        <v xml:space="preserve">100.00% 기능정의서(모두) 9/2-9/4 </v>
      </c>
      <c r="AH9" s="170"/>
      <c r="AI9" s="170"/>
      <c r="AJ9" s="170"/>
      <c r="AK9" s="170"/>
      <c r="AL9" s="170"/>
      <c r="AM9" s="170"/>
      <c r="AN9" s="170"/>
      <c r="AO9" s="170"/>
      <c r="AP9" s="170"/>
      <c r="AQ9" s="170"/>
      <c r="AR9" s="170"/>
      <c r="AS9" s="170"/>
      <c r="AT9" s="170"/>
      <c r="AU9" s="170"/>
      <c r="AV9" s="170"/>
      <c r="AW9" s="170"/>
      <c r="AX9" s="170"/>
      <c r="AY9" s="170"/>
      <c r="AZ9" s="170"/>
      <c r="BA9" s="170"/>
      <c r="BB9" s="170"/>
      <c r="BC9" s="170"/>
      <c r="BD9" s="170"/>
    </row>
    <row r="10" spans="1:79" outlineLevel="1">
      <c r="A10" s="155"/>
      <c r="B10" s="155"/>
      <c r="C10" s="155">
        <v>2</v>
      </c>
      <c r="D10" s="156" t="s">
        <v>1088</v>
      </c>
      <c r="E10" s="158"/>
      <c r="F10" s="188" t="s">
        <v>1079</v>
      </c>
      <c r="G10" s="158"/>
      <c r="H10" s="158"/>
      <c r="I10" s="158"/>
      <c r="J10" s="158"/>
      <c r="K10" s="158"/>
      <c r="L10" s="158"/>
      <c r="M10" s="159">
        <v>43711</v>
      </c>
      <c r="N10" s="159">
        <v>43711</v>
      </c>
      <c r="O10" s="160"/>
      <c r="P10" s="161">
        <v>1</v>
      </c>
      <c r="Q10" s="161">
        <v>1</v>
      </c>
      <c r="R10" s="162">
        <v>1</v>
      </c>
      <c r="S10" s="162">
        <v>1</v>
      </c>
      <c r="T10" s="159"/>
      <c r="U10" s="159"/>
      <c r="V10" s="163"/>
      <c r="W10" s="164">
        <v>0</v>
      </c>
      <c r="X10" s="165">
        <v>1</v>
      </c>
      <c r="Y10" s="173" t="s">
        <v>1064</v>
      </c>
      <c r="Z10" s="166"/>
      <c r="AA10" s="167">
        <v>1</v>
      </c>
      <c r="AB10" s="168">
        <v>1</v>
      </c>
      <c r="AC10" s="169"/>
      <c r="AD10" s="170"/>
      <c r="AE10" s="170"/>
      <c r="AF10" s="170" t="str">
        <f>"" &amp; TEXT(AB10,"#0.00%") &amp; " " &amp; "업무분담" &amp; "(모두)" &amp; " " &amp; IF(M10="","",TEXT(M10,"M/D-")) &amp; IF(N10="","",TEXT(N10,"M/D")) &amp; " "</f>
        <v xml:space="preserve">100.00% 업무분담(모두) 9/3-9/3 </v>
      </c>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row>
    <row r="11" spans="1:79" outlineLevel="1">
      <c r="A11" s="155"/>
      <c r="B11" s="155"/>
      <c r="C11" s="155">
        <v>2</v>
      </c>
      <c r="D11" s="156" t="s">
        <v>1089</v>
      </c>
      <c r="E11" s="158"/>
      <c r="F11" s="158" t="s">
        <v>1080</v>
      </c>
      <c r="G11" s="158"/>
      <c r="H11" s="158"/>
      <c r="I11" s="158"/>
      <c r="J11" s="158"/>
      <c r="K11" s="158"/>
      <c r="L11" s="158"/>
      <c r="M11" s="159">
        <v>43712</v>
      </c>
      <c r="N11" s="159">
        <v>43713</v>
      </c>
      <c r="O11" s="160"/>
      <c r="P11" s="161">
        <v>2</v>
      </c>
      <c r="Q11" s="161">
        <v>2</v>
      </c>
      <c r="R11" s="162">
        <v>2</v>
      </c>
      <c r="S11" s="162">
        <v>2</v>
      </c>
      <c r="T11" s="159"/>
      <c r="U11" s="159"/>
      <c r="V11" s="163"/>
      <c r="W11" s="164">
        <v>0</v>
      </c>
      <c r="X11" s="165">
        <v>1</v>
      </c>
      <c r="Y11" s="173" t="s">
        <v>1064</v>
      </c>
      <c r="Z11" s="166"/>
      <c r="AA11" s="167">
        <v>1</v>
      </c>
      <c r="AB11" s="168">
        <v>1</v>
      </c>
      <c r="AC11" s="169"/>
      <c r="AD11" s="170"/>
      <c r="AE11" s="170"/>
      <c r="AF11" s="170"/>
      <c r="AG11" s="170"/>
      <c r="AH11" s="170" t="str">
        <f>"" &amp; TEXT(AB11,"#0.00%") &amp; " " &amp; "타임테이블" &amp; "(모두)" &amp; " " &amp; IF(M11="","",TEXT(M11,"M/D-")) &amp; IF(N11="","",TEXT(N11,"M/D")) &amp; " "</f>
        <v xml:space="preserve">100.00% 타임테이블(모두) 9/4-9/5 </v>
      </c>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row>
    <row r="12" spans="1:79" outlineLevel="1">
      <c r="A12" s="155"/>
      <c r="B12" s="155"/>
      <c r="C12" s="155">
        <v>2</v>
      </c>
      <c r="D12" s="156" t="s">
        <v>1090</v>
      </c>
      <c r="E12" s="158"/>
      <c r="F12" s="158" t="s">
        <v>1161</v>
      </c>
      <c r="G12" s="158"/>
      <c r="H12" s="158"/>
      <c r="I12" s="158"/>
      <c r="J12" s="158"/>
      <c r="K12" s="158"/>
      <c r="L12" s="158"/>
      <c r="M12" s="159">
        <v>43713</v>
      </c>
      <c r="N12" s="159">
        <v>43713</v>
      </c>
      <c r="O12" s="160"/>
      <c r="P12" s="161">
        <v>1</v>
      </c>
      <c r="Q12" s="161">
        <v>1</v>
      </c>
      <c r="R12" s="162">
        <v>1</v>
      </c>
      <c r="S12" s="162">
        <v>1</v>
      </c>
      <c r="T12" s="159"/>
      <c r="U12" s="159"/>
      <c r="V12" s="163"/>
      <c r="W12" s="164">
        <v>0</v>
      </c>
      <c r="X12" s="165">
        <v>1</v>
      </c>
      <c r="Y12" s="173" t="s">
        <v>1064</v>
      </c>
      <c r="Z12" s="166"/>
      <c r="AA12" s="167">
        <v>1</v>
      </c>
      <c r="AB12" s="168">
        <v>1</v>
      </c>
      <c r="AC12" s="169"/>
      <c r="AD12" s="170"/>
      <c r="AE12" s="170"/>
      <c r="AF12" s="170"/>
      <c r="AG12" s="170"/>
      <c r="AH12" s="170" t="str">
        <f>"" &amp; TEXT(AB12,"#0.00%") &amp; " " &amp; "순서도 작성" &amp; "(모두)" &amp; " " &amp; IF(M12="","",TEXT(M12,"M/D-")) &amp; IF(N12="","",TEXT(N12,"M/D")) &amp; " "</f>
        <v xml:space="preserve">100.00% 순서도 작성(모두) 9/5-9/5 </v>
      </c>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row>
    <row r="13" spans="1:79" outlineLevel="1">
      <c r="A13" s="155"/>
      <c r="B13" s="155"/>
      <c r="C13" s="155">
        <v>2</v>
      </c>
      <c r="D13" s="156" t="s">
        <v>1091</v>
      </c>
      <c r="E13" s="158"/>
      <c r="F13" s="188" t="s">
        <v>1081</v>
      </c>
      <c r="G13" s="158"/>
      <c r="H13" s="158"/>
      <c r="I13" s="158"/>
      <c r="J13" s="158"/>
      <c r="K13" s="158"/>
      <c r="L13" s="158"/>
      <c r="M13" s="159">
        <v>43713</v>
      </c>
      <c r="N13" s="159">
        <v>43713</v>
      </c>
      <c r="O13" s="160"/>
      <c r="P13" s="161">
        <v>1</v>
      </c>
      <c r="Q13" s="161">
        <v>1</v>
      </c>
      <c r="R13" s="162">
        <v>1</v>
      </c>
      <c r="S13" s="162">
        <v>1</v>
      </c>
      <c r="T13" s="159"/>
      <c r="U13" s="159"/>
      <c r="V13" s="163"/>
      <c r="W13" s="164">
        <v>0</v>
      </c>
      <c r="X13" s="165">
        <v>1</v>
      </c>
      <c r="Y13" s="173" t="s">
        <v>1064</v>
      </c>
      <c r="Z13" s="166"/>
      <c r="AA13" s="167">
        <v>1</v>
      </c>
      <c r="AB13" s="168">
        <v>1</v>
      </c>
      <c r="AC13" s="169"/>
      <c r="AD13" s="170"/>
      <c r="AE13" s="170"/>
      <c r="AF13" s="170"/>
      <c r="AG13" s="170"/>
      <c r="AH13" s="170" t="str">
        <f>"" &amp; TEXT(AB13,"#0.00%") &amp; " " &amp; "데이터베이스 설계" &amp; "(모두)" &amp; " " &amp; IF(M13="","",TEXT(M13,"M/D-")) &amp; IF(N13="","",TEXT(N13,"M/D")) &amp; " "</f>
        <v xml:space="preserve">100.00% 데이터베이스 설계(모두) 9/5-9/5 </v>
      </c>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row>
    <row r="14" spans="1:79" outlineLevel="1">
      <c r="A14" s="155"/>
      <c r="B14" s="155"/>
      <c r="C14" s="155">
        <v>2</v>
      </c>
      <c r="D14" s="156" t="s">
        <v>1160</v>
      </c>
      <c r="E14" s="158"/>
      <c r="F14" s="188" t="s">
        <v>1083</v>
      </c>
      <c r="G14" s="158"/>
      <c r="H14" s="158"/>
      <c r="I14" s="158"/>
      <c r="J14" s="158"/>
      <c r="K14" s="158"/>
      <c r="L14" s="158"/>
      <c r="M14" s="159">
        <v>43714</v>
      </c>
      <c r="N14" s="159">
        <v>43714</v>
      </c>
      <c r="O14" s="160"/>
      <c r="P14" s="161">
        <v>1</v>
      </c>
      <c r="Q14" s="161">
        <v>1</v>
      </c>
      <c r="R14" s="162">
        <v>1</v>
      </c>
      <c r="S14" s="162">
        <v>1</v>
      </c>
      <c r="T14" s="159"/>
      <c r="U14" s="159"/>
      <c r="V14" s="163"/>
      <c r="W14" s="164">
        <v>0</v>
      </c>
      <c r="X14" s="165">
        <v>1</v>
      </c>
      <c r="Y14" s="173" t="s">
        <v>1064</v>
      </c>
      <c r="Z14" s="166"/>
      <c r="AA14" s="167">
        <v>1</v>
      </c>
      <c r="AB14" s="168">
        <v>1</v>
      </c>
      <c r="AC14" s="169"/>
      <c r="AD14" s="170"/>
      <c r="AE14" s="170"/>
      <c r="AF14" s="170"/>
      <c r="AG14" s="170"/>
      <c r="AH14" s="170"/>
      <c r="AI14" s="170" t="str">
        <f>"" &amp; TEXT(AB14,"#0.00%") &amp; " " &amp; "화면설계" &amp; "(모두)" &amp; " " &amp; IF(M14="","",TEXT(M14,"M/D-")) &amp; IF(N14="","",TEXT(N14,"M/D")) &amp; " "</f>
        <v xml:space="preserve">100.00% 화면설계(모두) 9/6-9/6 </v>
      </c>
      <c r="AJ14" s="170"/>
      <c r="AK14" s="170"/>
      <c r="AL14" s="170"/>
      <c r="AM14" s="170"/>
      <c r="AN14" s="170"/>
      <c r="AO14" s="170"/>
      <c r="AP14" s="170"/>
      <c r="AQ14" s="170"/>
      <c r="AR14" s="170"/>
      <c r="AS14" s="170"/>
      <c r="AT14" s="170"/>
      <c r="AU14" s="170"/>
      <c r="AV14" s="170"/>
      <c r="AW14" s="170"/>
      <c r="AX14" s="170"/>
      <c r="AY14" s="170"/>
      <c r="AZ14" s="170"/>
      <c r="BA14" s="170"/>
      <c r="BB14" s="170"/>
      <c r="BC14" s="170"/>
      <c r="BD14" s="170"/>
    </row>
    <row r="15" spans="1:79" outlineLevel="1">
      <c r="A15" s="155"/>
      <c r="B15" s="155"/>
      <c r="C15" s="155">
        <v>2</v>
      </c>
      <c r="D15" s="156" t="s">
        <v>1164</v>
      </c>
      <c r="E15" s="158"/>
      <c r="F15" s="188" t="s">
        <v>1162</v>
      </c>
      <c r="G15" s="158"/>
      <c r="H15" s="158"/>
      <c r="I15" s="158"/>
      <c r="J15" s="158"/>
      <c r="K15" s="158"/>
      <c r="L15" s="158"/>
      <c r="M15" s="159">
        <v>43714</v>
      </c>
      <c r="N15" s="159">
        <v>43714</v>
      </c>
      <c r="O15" s="160"/>
      <c r="P15" s="161">
        <v>1</v>
      </c>
      <c r="Q15" s="161">
        <v>1</v>
      </c>
      <c r="R15" s="162">
        <v>1</v>
      </c>
      <c r="S15" s="162">
        <v>1</v>
      </c>
      <c r="T15" s="159"/>
      <c r="U15" s="159"/>
      <c r="V15" s="163"/>
      <c r="W15" s="164">
        <v>0</v>
      </c>
      <c r="X15" s="165">
        <v>1</v>
      </c>
      <c r="Y15" s="173" t="s">
        <v>1064</v>
      </c>
      <c r="Z15" s="166"/>
      <c r="AA15" s="167">
        <v>1</v>
      </c>
      <c r="AB15" s="168">
        <v>1</v>
      </c>
      <c r="AC15" s="169"/>
      <c r="AD15" s="170"/>
      <c r="AE15" s="170"/>
      <c r="AF15" s="170"/>
      <c r="AG15" s="170"/>
      <c r="AH15" s="170"/>
      <c r="AI15" s="170" t="str">
        <f>"" &amp; TEXT(AB15,"#0.00%") &amp; " " &amp; "데이터베이스 연동" &amp; "(모두)" &amp; " " &amp; IF(M15="","",TEXT(M15,"M/D-")) &amp; IF(N15="","",TEXT(N15,"M/D")) &amp; " "</f>
        <v xml:space="preserve">100.00% 데이터베이스 연동(모두) 9/6-9/6 </v>
      </c>
      <c r="AJ15" s="170"/>
      <c r="AK15" s="170"/>
      <c r="AL15" s="170"/>
      <c r="AM15" s="170"/>
      <c r="AN15" s="170"/>
      <c r="AO15" s="170"/>
      <c r="AP15" s="170"/>
      <c r="AQ15" s="170"/>
      <c r="AR15" s="170"/>
      <c r="AS15" s="170"/>
      <c r="AT15" s="170"/>
      <c r="AU15" s="170"/>
      <c r="AV15" s="170"/>
      <c r="AW15" s="170"/>
      <c r="AX15" s="170"/>
      <c r="AY15" s="170"/>
      <c r="AZ15" s="170"/>
      <c r="BA15" s="170"/>
      <c r="BB15" s="170"/>
      <c r="BC15" s="170"/>
      <c r="BD15" s="170"/>
    </row>
    <row r="16" spans="1:79" outlineLevel="1">
      <c r="A16" s="155"/>
      <c r="B16" s="155"/>
      <c r="C16" s="155">
        <v>2</v>
      </c>
      <c r="D16" s="156" t="s">
        <v>1165</v>
      </c>
      <c r="E16" s="158"/>
      <c r="F16" s="188" t="s">
        <v>1163</v>
      </c>
      <c r="G16" s="158"/>
      <c r="H16" s="158"/>
      <c r="I16" s="158"/>
      <c r="J16" s="158"/>
      <c r="K16" s="158"/>
      <c r="L16" s="158"/>
      <c r="M16" s="159">
        <v>43714</v>
      </c>
      <c r="N16" s="159">
        <v>43714</v>
      </c>
      <c r="O16" s="160"/>
      <c r="P16" s="161">
        <v>1</v>
      </c>
      <c r="Q16" s="161">
        <v>1</v>
      </c>
      <c r="R16" s="162">
        <v>1</v>
      </c>
      <c r="S16" s="162">
        <v>1</v>
      </c>
      <c r="T16" s="159"/>
      <c r="U16" s="159"/>
      <c r="V16" s="163"/>
      <c r="W16" s="164">
        <v>0</v>
      </c>
      <c r="X16" s="165">
        <v>1</v>
      </c>
      <c r="Y16" s="173" t="s">
        <v>1064</v>
      </c>
      <c r="Z16" s="166"/>
      <c r="AA16" s="167">
        <v>1</v>
      </c>
      <c r="AB16" s="168">
        <v>1</v>
      </c>
      <c r="AC16" s="169"/>
      <c r="AD16" s="170"/>
      <c r="AE16" s="170"/>
      <c r="AF16" s="170"/>
      <c r="AG16" s="170"/>
      <c r="AH16" s="170"/>
      <c r="AI16" s="170" t="str">
        <f>"" &amp; TEXT(AB16,"#0.00%") &amp; " " &amp; "프로젝트 설정" &amp; "(모두)" &amp; " " &amp; IF(M16="","",TEXT(M16,"M/D-")) &amp; IF(N16="","",TEXT(N16,"M/D")) &amp; " "</f>
        <v xml:space="preserve">100.00% 프로젝트 설정(모두) 9/6-9/6 </v>
      </c>
      <c r="AJ16" s="170"/>
      <c r="AK16" s="170"/>
      <c r="AL16" s="170"/>
      <c r="AM16" s="170"/>
      <c r="AN16" s="170"/>
      <c r="AO16" s="170"/>
      <c r="AP16" s="170"/>
      <c r="AQ16" s="170"/>
      <c r="AR16" s="170"/>
      <c r="AS16" s="170"/>
      <c r="AT16" s="170"/>
      <c r="AU16" s="170"/>
      <c r="AV16" s="170"/>
      <c r="AW16" s="170"/>
      <c r="AX16" s="170"/>
      <c r="AY16" s="170"/>
      <c r="AZ16" s="170"/>
      <c r="BA16" s="170"/>
      <c r="BB16" s="170"/>
      <c r="BC16" s="170"/>
      <c r="BD16" s="170"/>
    </row>
    <row r="17" spans="1:56" outlineLevel="1">
      <c r="A17" s="155"/>
      <c r="B17" s="155"/>
      <c r="C17" s="155">
        <v>2</v>
      </c>
      <c r="D17" s="156" t="s">
        <v>1167</v>
      </c>
      <c r="E17" s="158"/>
      <c r="F17" s="188" t="s">
        <v>1166</v>
      </c>
      <c r="G17" s="158"/>
      <c r="H17" s="158"/>
      <c r="I17" s="158"/>
      <c r="J17" s="158"/>
      <c r="K17" s="158"/>
      <c r="L17" s="158"/>
      <c r="M17" s="159">
        <v>43717</v>
      </c>
      <c r="N17" s="159">
        <v>43718</v>
      </c>
      <c r="O17" s="160"/>
      <c r="P17" s="161">
        <v>2</v>
      </c>
      <c r="Q17" s="161">
        <v>2</v>
      </c>
      <c r="R17" s="162">
        <v>2</v>
      </c>
      <c r="S17" s="162">
        <v>2</v>
      </c>
      <c r="T17" s="159"/>
      <c r="U17" s="159"/>
      <c r="V17" s="163"/>
      <c r="W17" s="164">
        <v>0</v>
      </c>
      <c r="X17" s="165">
        <v>1</v>
      </c>
      <c r="Y17" s="173" t="s">
        <v>1064</v>
      </c>
      <c r="Z17" s="166"/>
      <c r="AA17" s="167">
        <v>1</v>
      </c>
      <c r="AB17" s="168">
        <v>1</v>
      </c>
      <c r="AC17" s="169"/>
      <c r="AD17" s="170"/>
      <c r="AE17" s="170"/>
      <c r="AF17" s="170"/>
      <c r="AG17" s="170"/>
      <c r="AH17" s="170"/>
      <c r="AI17" s="170"/>
      <c r="AJ17" s="170"/>
      <c r="AK17" s="170"/>
      <c r="AL17" s="170"/>
      <c r="AM17" s="170" t="str">
        <f>"" &amp; TEXT(AB17,"#0.00%") &amp; " " &amp; "프로젝트 기본 템플릿 적용" &amp; "(모두)" &amp; " " &amp; IF(M17="","",TEXT(M17,"M/D-")) &amp; IF(N17="","",TEXT(N17,"M/D")) &amp; " "</f>
        <v xml:space="preserve">100.00% 프로젝트 기본 템플릿 적용(모두) 9/9-9/10 </v>
      </c>
      <c r="AN17" s="170"/>
      <c r="AO17" s="170"/>
      <c r="AP17" s="170"/>
      <c r="AQ17" s="170"/>
      <c r="AR17" s="170"/>
      <c r="AS17" s="170"/>
      <c r="AT17" s="170"/>
      <c r="AU17" s="170"/>
      <c r="AV17" s="170"/>
      <c r="AW17" s="170"/>
      <c r="AX17" s="170"/>
      <c r="AY17" s="170"/>
      <c r="AZ17" s="170"/>
      <c r="BA17" s="170"/>
      <c r="BB17" s="170"/>
      <c r="BC17" s="170"/>
      <c r="BD17" s="170"/>
    </row>
    <row r="18" spans="1:56">
      <c r="A18" s="155"/>
      <c r="B18" s="155" t="s">
        <v>983</v>
      </c>
      <c r="C18" s="155">
        <v>1</v>
      </c>
      <c r="D18" s="156" t="s">
        <v>1095</v>
      </c>
      <c r="E18" s="158" t="s">
        <v>1094</v>
      </c>
      <c r="F18" s="158"/>
      <c r="G18" s="158"/>
      <c r="H18" s="158"/>
      <c r="I18" s="158"/>
      <c r="J18" s="158"/>
      <c r="K18" s="158"/>
      <c r="L18" s="158"/>
      <c r="M18" s="159">
        <v>43718</v>
      </c>
      <c r="N18" s="159">
        <v>43735</v>
      </c>
      <c r="O18" s="160"/>
      <c r="P18" s="161">
        <v>79</v>
      </c>
      <c r="Q18" s="161">
        <v>79</v>
      </c>
      <c r="R18" s="162">
        <v>12</v>
      </c>
      <c r="S18" s="162">
        <v>12</v>
      </c>
      <c r="T18" s="159"/>
      <c r="U18" s="159"/>
      <c r="V18" s="163">
        <v>0</v>
      </c>
      <c r="W18" s="164">
        <v>0</v>
      </c>
      <c r="X18" s="165"/>
      <c r="Y18" s="173" t="s">
        <v>1064</v>
      </c>
      <c r="Z18" s="166"/>
      <c r="AA18" s="167">
        <v>1</v>
      </c>
      <c r="AB18" s="168">
        <v>0.92405063291139244</v>
      </c>
      <c r="AC18" s="169"/>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t="str">
        <f>"" &amp; TEXT(AB18,"#0.00%") &amp; " " &amp; "1차 개발" &amp; "(모두)" &amp; " " &amp; IF(M18="","",TEXT(M18,"M/D-")) &amp; IF(N18="","",TEXT(N18,"M/D")) &amp; " "</f>
        <v xml:space="preserve">92.41% 1차 개발(모두) 9/10-9/27 </v>
      </c>
      <c r="BD18" s="170"/>
    </row>
    <row r="19" spans="1:56" ht="17.25" outlineLevel="1">
      <c r="A19" s="155"/>
      <c r="B19" s="155" t="s">
        <v>983</v>
      </c>
      <c r="C19" s="155">
        <v>2</v>
      </c>
      <c r="D19" s="156" t="s">
        <v>1096</v>
      </c>
      <c r="E19" s="158"/>
      <c r="F19" s="217" t="s">
        <v>1098</v>
      </c>
      <c r="G19" s="158"/>
      <c r="H19" s="158"/>
      <c r="I19" s="158"/>
      <c r="J19" s="158"/>
      <c r="K19" s="158"/>
      <c r="L19" s="158"/>
      <c r="M19" s="159">
        <v>43718</v>
      </c>
      <c r="N19" s="159">
        <v>43735</v>
      </c>
      <c r="O19" s="160"/>
      <c r="P19" s="161">
        <v>11</v>
      </c>
      <c r="Q19" s="161">
        <v>11</v>
      </c>
      <c r="R19" s="162">
        <v>12</v>
      </c>
      <c r="S19" s="162">
        <v>12</v>
      </c>
      <c r="T19" s="159"/>
      <c r="U19" s="159"/>
      <c r="V19" s="163">
        <v>0</v>
      </c>
      <c r="W19" s="164">
        <v>0</v>
      </c>
      <c r="X19" s="165"/>
      <c r="Y19" s="173" t="s">
        <v>1105</v>
      </c>
      <c r="Z19" s="166"/>
      <c r="AA19" s="167">
        <v>1</v>
      </c>
      <c r="AB19" s="168">
        <v>0.90909090909090906</v>
      </c>
      <c r="AC19" s="169"/>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t="str">
        <f>"" &amp; TEXT(AB19,"#0.00%") &amp; " " &amp; "요청하기" &amp; "(강다희)" &amp; " " &amp; IF(M19="","",TEXT(M19,"M/D-")) &amp; IF(N19="","",TEXT(N19,"M/D")) &amp; " "</f>
        <v xml:space="preserve">90.91% 요청하기(강다희) 9/10-9/27 </v>
      </c>
      <c r="BC19" s="170"/>
      <c r="BD19" s="170"/>
    </row>
    <row r="20" spans="1:56" ht="17.25" outlineLevel="2">
      <c r="A20" s="155"/>
      <c r="B20" s="155"/>
      <c r="C20" s="155">
        <v>3</v>
      </c>
      <c r="D20" s="156" t="s">
        <v>1093</v>
      </c>
      <c r="E20" s="158"/>
      <c r="F20" s="158"/>
      <c r="G20" s="217" t="s">
        <v>1101</v>
      </c>
      <c r="H20" s="158"/>
      <c r="I20" s="158"/>
      <c r="J20" s="158"/>
      <c r="K20" s="158"/>
      <c r="L20" s="158"/>
      <c r="M20" s="159">
        <v>43718</v>
      </c>
      <c r="N20" s="159">
        <v>43731</v>
      </c>
      <c r="O20" s="160"/>
      <c r="P20" s="161">
        <v>8</v>
      </c>
      <c r="Q20" s="161">
        <v>8</v>
      </c>
      <c r="R20" s="162">
        <v>8</v>
      </c>
      <c r="S20" s="162">
        <v>8</v>
      </c>
      <c r="T20" s="159"/>
      <c r="U20" s="159"/>
      <c r="V20" s="163"/>
      <c r="W20" s="164">
        <v>0</v>
      </c>
      <c r="X20" s="165">
        <v>1</v>
      </c>
      <c r="Y20" s="173" t="s">
        <v>1105</v>
      </c>
      <c r="Z20" s="166"/>
      <c r="AA20" s="167">
        <v>1</v>
      </c>
      <c r="AB20" s="168">
        <v>1</v>
      </c>
      <c r="AC20" s="169"/>
      <c r="AD20" s="170"/>
      <c r="AE20" s="170"/>
      <c r="AF20" s="170"/>
      <c r="AG20" s="170"/>
      <c r="AH20" s="170"/>
      <c r="AI20" s="170"/>
      <c r="AJ20" s="170"/>
      <c r="AK20" s="170"/>
      <c r="AL20" s="170"/>
      <c r="AM20" s="170"/>
      <c r="AN20" s="170"/>
      <c r="AO20" s="170"/>
      <c r="AP20" s="170"/>
      <c r="AQ20" s="170"/>
      <c r="AR20" s="170"/>
      <c r="AS20" s="170"/>
      <c r="AT20" s="170"/>
      <c r="AU20" s="170"/>
      <c r="AV20" s="170"/>
      <c r="AW20" s="170"/>
      <c r="AX20" s="170"/>
      <c r="AY20" s="170"/>
      <c r="AZ20" s="170" t="str">
        <f>"" &amp; TEXT(AB20,"#0.00%") &amp; " " &amp; "요청서 작성" &amp; "(강다희)" &amp; " " &amp; IF(M20="","",TEXT(M20,"M/D-")) &amp; IF(N20="","",TEXT(N20,"M/D")) &amp; " "</f>
        <v xml:space="preserve">100.00% 요청서 작성(강다희) 9/10-9/23 </v>
      </c>
      <c r="BA20" s="170"/>
      <c r="BB20" s="170"/>
      <c r="BC20" s="170"/>
      <c r="BD20" s="170"/>
    </row>
    <row r="21" spans="1:56" ht="17.25" outlineLevel="2">
      <c r="A21" s="155"/>
      <c r="B21" s="155"/>
      <c r="C21" s="155">
        <v>3</v>
      </c>
      <c r="D21" s="156" t="s">
        <v>1106</v>
      </c>
      <c r="E21" s="218"/>
      <c r="F21" s="218"/>
      <c r="G21" s="219" t="s">
        <v>1100</v>
      </c>
      <c r="H21" s="218"/>
      <c r="I21" s="218"/>
      <c r="J21" s="218"/>
      <c r="K21" s="218"/>
      <c r="L21" s="218"/>
      <c r="M21" s="159">
        <v>43732</v>
      </c>
      <c r="N21" s="159">
        <v>43733</v>
      </c>
      <c r="O21" s="220"/>
      <c r="P21" s="161">
        <v>2</v>
      </c>
      <c r="Q21" s="161">
        <v>2</v>
      </c>
      <c r="R21" s="220">
        <v>2</v>
      </c>
      <c r="S21" s="220">
        <v>2</v>
      </c>
      <c r="T21" s="220"/>
      <c r="U21" s="220"/>
      <c r="V21" s="220"/>
      <c r="W21" s="220">
        <v>0</v>
      </c>
      <c r="X21" s="165">
        <v>1</v>
      </c>
      <c r="Y21" s="173" t="s">
        <v>1105</v>
      </c>
      <c r="Z21" s="218"/>
      <c r="AA21" s="221">
        <v>1</v>
      </c>
      <c r="AB21" s="168">
        <v>1</v>
      </c>
      <c r="AC21" s="169"/>
      <c r="AD21" s="170"/>
      <c r="AE21" s="170"/>
      <c r="AF21" s="170"/>
      <c r="AG21" s="170"/>
      <c r="AH21" s="170"/>
      <c r="AI21" s="170"/>
      <c r="AJ21" s="170"/>
      <c r="AK21" s="170"/>
      <c r="AL21" s="170"/>
      <c r="AM21" s="170"/>
      <c r="AN21" s="170"/>
      <c r="AO21" s="170"/>
      <c r="AP21" s="170"/>
      <c r="AQ21" s="170"/>
      <c r="AR21" s="170"/>
      <c r="AS21" s="170"/>
      <c r="AT21" s="170"/>
      <c r="AU21" s="170"/>
      <c r="AV21" s="170"/>
      <c r="AW21" s="170"/>
      <c r="AX21" s="170"/>
      <c r="AY21" s="170"/>
      <c r="AZ21" s="170"/>
      <c r="BA21" s="170"/>
      <c r="BB21" s="170" t="str">
        <f>"" &amp; TEXT(AB21,"#0.00%") &amp; " " &amp; "보낸 요청 확인" &amp; "(강다희)" &amp; " " &amp; IF(M21="","",TEXT(M21,"M/D-")) &amp; IF(N21="","",TEXT(N21,"M/D")) &amp; " "</f>
        <v xml:space="preserve">100.00% 보낸 요청 확인(강다희) 9/24-9/25 </v>
      </c>
      <c r="BC21" s="170"/>
      <c r="BD21" s="170"/>
    </row>
    <row r="22" spans="1:56" s="243" customFormat="1" ht="17.25" outlineLevel="2">
      <c r="A22" s="228"/>
      <c r="B22" s="228"/>
      <c r="C22" s="228">
        <v>3</v>
      </c>
      <c r="D22" s="229" t="s">
        <v>1107</v>
      </c>
      <c r="E22" s="230"/>
      <c r="F22" s="230"/>
      <c r="G22" s="231" t="s">
        <v>1099</v>
      </c>
      <c r="H22" s="230"/>
      <c r="I22" s="230"/>
      <c r="J22" s="230"/>
      <c r="K22" s="230"/>
      <c r="L22" s="230"/>
      <c r="M22" s="232">
        <v>43735</v>
      </c>
      <c r="N22" s="232">
        <v>43735</v>
      </c>
      <c r="O22" s="233"/>
      <c r="P22" s="234">
        <v>1</v>
      </c>
      <c r="Q22" s="234">
        <v>1</v>
      </c>
      <c r="R22" s="235">
        <v>1</v>
      </c>
      <c r="S22" s="235">
        <v>1</v>
      </c>
      <c r="T22" s="232"/>
      <c r="U22" s="232"/>
      <c r="V22" s="236"/>
      <c r="W22" s="237">
        <v>0</v>
      </c>
      <c r="X22" s="238">
        <v>1</v>
      </c>
      <c r="Y22" s="239" t="s">
        <v>1105</v>
      </c>
      <c r="Z22" s="240"/>
      <c r="AA22" s="241">
        <v>1</v>
      </c>
      <c r="AB22" s="242">
        <v>0</v>
      </c>
      <c r="AC22" s="169"/>
      <c r="AD22" s="170"/>
      <c r="AE22" s="170"/>
      <c r="AF22" s="170"/>
      <c r="AG22" s="170"/>
      <c r="AH22" s="170"/>
      <c r="AI22" s="170"/>
      <c r="AJ22" s="170"/>
      <c r="AK22" s="170"/>
      <c r="AL22" s="170"/>
      <c r="AM22" s="170"/>
      <c r="AN22" s="170"/>
      <c r="AO22" s="170"/>
      <c r="AP22" s="170"/>
      <c r="AQ22" s="170"/>
      <c r="AR22" s="170"/>
      <c r="AS22" s="170"/>
      <c r="AT22" s="170"/>
      <c r="AU22" s="170"/>
      <c r="AV22" s="170"/>
      <c r="AW22" s="170"/>
      <c r="AX22" s="170"/>
      <c r="AY22" s="170"/>
      <c r="AZ22" s="170"/>
      <c r="BA22" s="170"/>
      <c r="BB22" s="170"/>
      <c r="BC22" s="170" t="str">
        <f>"" &amp; TEXT(AB22,"#0.00%") &amp; " " &amp; "추천 고수 리스트 출력" &amp; "(강다희)" &amp; " " &amp; IF(M22="","",TEXT(M22,"M/D-")) &amp; IF(N22="","",TEXT(N22,"M/D")) &amp; " "</f>
        <v xml:space="preserve">0.00% 추천 고수 리스트 출력(강다희) 9/27-9/27 </v>
      </c>
      <c r="BD22" s="170"/>
    </row>
    <row r="23" spans="1:56" ht="17.25" outlineLevel="1">
      <c r="A23" s="155"/>
      <c r="B23" s="155" t="s">
        <v>983</v>
      </c>
      <c r="C23" s="155">
        <v>2</v>
      </c>
      <c r="D23" s="156" t="s">
        <v>1097</v>
      </c>
      <c r="E23" s="158"/>
      <c r="F23" s="217" t="s">
        <v>1102</v>
      </c>
      <c r="G23" s="158"/>
      <c r="H23" s="158"/>
      <c r="I23" s="158"/>
      <c r="J23" s="158"/>
      <c r="K23" s="158"/>
      <c r="L23" s="158"/>
      <c r="M23" s="159">
        <v>43732</v>
      </c>
      <c r="N23" s="159">
        <v>43733</v>
      </c>
      <c r="O23" s="160"/>
      <c r="P23" s="161">
        <v>3</v>
      </c>
      <c r="Q23" s="161">
        <v>3</v>
      </c>
      <c r="R23" s="162">
        <v>2</v>
      </c>
      <c r="S23" s="162">
        <v>2</v>
      </c>
      <c r="T23" s="159"/>
      <c r="U23" s="159"/>
      <c r="V23" s="163">
        <v>0</v>
      </c>
      <c r="W23" s="164">
        <v>0</v>
      </c>
      <c r="X23" s="165"/>
      <c r="Y23" s="173" t="s">
        <v>1105</v>
      </c>
      <c r="Z23" s="166"/>
      <c r="AA23" s="167">
        <v>1</v>
      </c>
      <c r="AB23" s="168">
        <v>1</v>
      </c>
      <c r="AC23" s="169"/>
      <c r="AD23" s="170"/>
      <c r="AE23" s="170"/>
      <c r="AF23" s="170"/>
      <c r="AG23" s="170"/>
      <c r="AH23" s="170"/>
      <c r="AI23" s="170"/>
      <c r="AJ23" s="170"/>
      <c r="AK23" s="170"/>
      <c r="AL23" s="170"/>
      <c r="AM23" s="170"/>
      <c r="AN23" s="170"/>
      <c r="AO23" s="170"/>
      <c r="AP23" s="170"/>
      <c r="AQ23" s="170"/>
      <c r="AR23" s="170"/>
      <c r="AS23" s="170"/>
      <c r="AT23" s="170"/>
      <c r="AU23" s="170"/>
      <c r="AV23" s="170"/>
      <c r="AW23" s="170"/>
      <c r="AX23" s="170"/>
      <c r="AY23" s="170"/>
      <c r="AZ23" s="170"/>
      <c r="BA23" s="170"/>
      <c r="BB23" s="170" t="str">
        <f>"" &amp; TEXT(AB23,"#0.00%") &amp; " " &amp; "보낸요청" &amp; "(강다희)" &amp; " " &amp; IF(M23="","",TEXT(M23,"M/D-")) &amp; IF(N23="","",TEXT(N23,"M/D")) &amp; " "</f>
        <v xml:space="preserve">100.00% 보낸요청(강다희) 9/24-9/25 </v>
      </c>
      <c r="BC23" s="170"/>
      <c r="BD23" s="170"/>
    </row>
    <row r="24" spans="1:56" ht="17.25" outlineLevel="2">
      <c r="A24" s="155"/>
      <c r="B24" s="155"/>
      <c r="C24" s="155">
        <v>3</v>
      </c>
      <c r="D24" s="156" t="s">
        <v>1108</v>
      </c>
      <c r="E24" s="158"/>
      <c r="F24" s="158"/>
      <c r="G24" s="217" t="s">
        <v>1103</v>
      </c>
      <c r="H24" s="158"/>
      <c r="I24" s="158"/>
      <c r="J24" s="158"/>
      <c r="K24" s="158"/>
      <c r="L24" s="158"/>
      <c r="M24" s="159">
        <v>43732</v>
      </c>
      <c r="N24" s="159">
        <v>43732</v>
      </c>
      <c r="O24" s="160"/>
      <c r="P24" s="161">
        <v>1</v>
      </c>
      <c r="Q24" s="161">
        <v>1</v>
      </c>
      <c r="R24" s="162">
        <v>1</v>
      </c>
      <c r="S24" s="162">
        <v>1</v>
      </c>
      <c r="T24" s="159"/>
      <c r="U24" s="159"/>
      <c r="V24" s="163"/>
      <c r="W24" s="164">
        <v>0</v>
      </c>
      <c r="X24" s="165">
        <v>1</v>
      </c>
      <c r="Y24" s="173" t="s">
        <v>1105</v>
      </c>
      <c r="Z24" s="166"/>
      <c r="AA24" s="167">
        <v>1</v>
      </c>
      <c r="AB24" s="168">
        <v>1</v>
      </c>
      <c r="AC24" s="169"/>
      <c r="AD24" s="170"/>
      <c r="AE24" s="170"/>
      <c r="AF24" s="170"/>
      <c r="AG24" s="170"/>
      <c r="AH24" s="170"/>
      <c r="AI24" s="170"/>
      <c r="AJ24" s="170"/>
      <c r="AK24" s="170"/>
      <c r="AL24" s="170"/>
      <c r="AM24" s="170"/>
      <c r="AN24" s="170"/>
      <c r="AO24" s="170"/>
      <c r="AP24" s="170"/>
      <c r="AQ24" s="170"/>
      <c r="AR24" s="170"/>
      <c r="AS24" s="170"/>
      <c r="AT24" s="170"/>
      <c r="AU24" s="170"/>
      <c r="AV24" s="170"/>
      <c r="AW24" s="170"/>
      <c r="AX24" s="170"/>
      <c r="AY24" s="170"/>
      <c r="AZ24" s="170"/>
      <c r="BA24" s="170" t="str">
        <f>"" &amp; TEXT(AB24,"#0.00%") &amp; " " &amp; "보낸 요청 목록" &amp; "(강다희)" &amp; " " &amp; IF(M24="","",TEXT(M24,"M/D-")) &amp; IF(N24="","",TEXT(N24,"M/D")) &amp; " "</f>
        <v xml:space="preserve">100.00% 보낸 요청 목록(강다희) 9/24-9/24 </v>
      </c>
      <c r="BB24" s="170"/>
      <c r="BC24" s="170"/>
      <c r="BD24" s="170"/>
    </row>
    <row r="25" spans="1:56" ht="17.25" outlineLevel="2">
      <c r="A25" s="155"/>
      <c r="B25" s="155"/>
      <c r="C25" s="155">
        <v>3</v>
      </c>
      <c r="D25" s="156" t="s">
        <v>1109</v>
      </c>
      <c r="E25" s="158"/>
      <c r="F25" s="158"/>
      <c r="G25" s="217" t="s">
        <v>1104</v>
      </c>
      <c r="H25" s="158"/>
      <c r="I25" s="158"/>
      <c r="J25" s="158"/>
      <c r="K25" s="158"/>
      <c r="L25" s="158"/>
      <c r="M25" s="159">
        <v>43733</v>
      </c>
      <c r="N25" s="159">
        <v>43733</v>
      </c>
      <c r="O25" s="160"/>
      <c r="P25" s="161">
        <v>1</v>
      </c>
      <c r="Q25" s="161">
        <v>1</v>
      </c>
      <c r="R25" s="162">
        <v>1</v>
      </c>
      <c r="S25" s="162">
        <v>1</v>
      </c>
      <c r="T25" s="159"/>
      <c r="U25" s="159"/>
      <c r="V25" s="163"/>
      <c r="W25" s="164">
        <v>0</v>
      </c>
      <c r="X25" s="165">
        <v>1</v>
      </c>
      <c r="Y25" s="173" t="s">
        <v>1105</v>
      </c>
      <c r="Z25" s="166"/>
      <c r="AA25" s="167">
        <v>1</v>
      </c>
      <c r="AB25" s="168">
        <v>1</v>
      </c>
      <c r="AC25" s="169"/>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0"/>
      <c r="AZ25" s="170"/>
      <c r="BA25" s="170"/>
      <c r="BB25" s="170" t="str">
        <f>"" &amp; TEXT(AB25,"#0.00%") &amp; " " &amp; "요청 취소" &amp; "(강다희)" &amp; " " &amp; IF(M25="","",TEXT(M25,"M/D-")) &amp; IF(N25="","",TEXT(N25,"M/D")) &amp; " "</f>
        <v xml:space="preserve">100.00% 요청 취소(강다희) 9/25-9/25 </v>
      </c>
      <c r="BC25" s="170"/>
      <c r="BD25" s="170"/>
    </row>
    <row r="26" spans="1:56" ht="17.25" outlineLevel="2">
      <c r="A26" s="155"/>
      <c r="B26" s="155"/>
      <c r="C26" s="155">
        <v>3</v>
      </c>
      <c r="D26" s="156" t="s">
        <v>1168</v>
      </c>
      <c r="E26" s="158"/>
      <c r="F26" s="158"/>
      <c r="G26" s="217" t="s">
        <v>1169</v>
      </c>
      <c r="H26" s="158"/>
      <c r="I26" s="158"/>
      <c r="J26" s="158"/>
      <c r="K26" s="158"/>
      <c r="L26" s="158"/>
      <c r="M26" s="159">
        <v>43733</v>
      </c>
      <c r="N26" s="159">
        <v>43733</v>
      </c>
      <c r="O26" s="160"/>
      <c r="P26" s="161">
        <v>1</v>
      </c>
      <c r="Q26" s="161">
        <v>1</v>
      </c>
      <c r="R26" s="162">
        <v>1</v>
      </c>
      <c r="S26" s="162">
        <v>1</v>
      </c>
      <c r="T26" s="159"/>
      <c r="U26" s="159"/>
      <c r="V26" s="163"/>
      <c r="W26" s="164">
        <v>0</v>
      </c>
      <c r="X26" s="165">
        <v>1</v>
      </c>
      <c r="Y26" s="173" t="s">
        <v>1105</v>
      </c>
      <c r="Z26" s="166"/>
      <c r="AA26" s="167">
        <v>1</v>
      </c>
      <c r="AB26" s="168">
        <v>1</v>
      </c>
      <c r="AC26" s="169"/>
      <c r="AD26" s="170"/>
      <c r="AE26" s="170"/>
      <c r="AF26" s="170"/>
      <c r="AG26" s="170"/>
      <c r="AH26" s="170"/>
      <c r="AI26" s="170"/>
      <c r="AJ26" s="170"/>
      <c r="AK26" s="170"/>
      <c r="AL26" s="170"/>
      <c r="AM26" s="170"/>
      <c r="AN26" s="170"/>
      <c r="AO26" s="170"/>
      <c r="AP26" s="170"/>
      <c r="AQ26" s="170"/>
      <c r="AR26" s="170"/>
      <c r="AS26" s="170"/>
      <c r="AT26" s="170"/>
      <c r="AU26" s="170"/>
      <c r="AV26" s="170"/>
      <c r="AW26" s="170"/>
      <c r="AX26" s="170"/>
      <c r="AY26" s="170"/>
      <c r="AZ26" s="170"/>
      <c r="BA26" s="170"/>
      <c r="BB26" s="170" t="str">
        <f>"" &amp; TEXT(AB26,"#0.00%") &amp; " " &amp; "받은견적서 리스트 출력" &amp; "(강다희)" &amp; " " &amp; IF(M26="","",TEXT(M26,"M/D-")) &amp; IF(N26="","",TEXT(N26,"M/D")) &amp; " "</f>
        <v xml:space="preserve">100.00% 받은견적서 리스트 출력(강다희) 9/25-9/25 </v>
      </c>
      <c r="BC26" s="170"/>
      <c r="BD26" s="170"/>
    </row>
    <row r="27" spans="1:56" outlineLevel="1">
      <c r="A27" s="155"/>
      <c r="B27" s="155"/>
      <c r="C27" s="155">
        <v>2</v>
      </c>
      <c r="D27" s="156" t="s">
        <v>1115</v>
      </c>
      <c r="E27" s="158"/>
      <c r="F27" s="158" t="s">
        <v>1110</v>
      </c>
      <c r="G27" s="158"/>
      <c r="H27" s="158"/>
      <c r="I27" s="158"/>
      <c r="J27" s="158"/>
      <c r="K27" s="158"/>
      <c r="L27" s="158"/>
      <c r="M27" s="159">
        <v>43718</v>
      </c>
      <c r="N27" s="159">
        <v>43718</v>
      </c>
      <c r="O27" s="160"/>
      <c r="P27" s="161">
        <v>1</v>
      </c>
      <c r="Q27" s="161">
        <v>1</v>
      </c>
      <c r="R27" s="162">
        <v>1</v>
      </c>
      <c r="S27" s="162">
        <v>1</v>
      </c>
      <c r="T27" s="159"/>
      <c r="U27" s="159"/>
      <c r="V27" s="163"/>
      <c r="W27" s="164">
        <v>0</v>
      </c>
      <c r="X27" s="165">
        <v>1</v>
      </c>
      <c r="Y27" s="222" t="s">
        <v>1114</v>
      </c>
      <c r="Z27" s="166"/>
      <c r="AA27" s="167">
        <v>1</v>
      </c>
      <c r="AB27" s="168">
        <v>1</v>
      </c>
      <c r="AC27" s="169"/>
      <c r="AD27" s="170"/>
      <c r="AE27" s="170"/>
      <c r="AF27" s="170"/>
      <c r="AG27" s="170"/>
      <c r="AH27" s="170"/>
      <c r="AI27" s="170"/>
      <c r="AJ27" s="170"/>
      <c r="AK27" s="170"/>
      <c r="AL27" s="170"/>
      <c r="AM27" s="170" t="str">
        <f>"" &amp; TEXT(AB27,"#0.00%") &amp; " " &amp; "리뷰작성기능" &amp; "(백민종)" &amp; " " &amp; IF(M27="","",TEXT(M27,"M/D-")) &amp; IF(N27="","",TEXT(N27,"M/D")) &amp; " "</f>
        <v xml:space="preserve">100.00% 리뷰작성기능(백민종) 9/10-9/10 </v>
      </c>
      <c r="AN27" s="170"/>
      <c r="AO27" s="170"/>
      <c r="AP27" s="170"/>
      <c r="AQ27" s="170"/>
      <c r="AR27" s="170"/>
      <c r="AS27" s="170"/>
      <c r="AT27" s="170"/>
      <c r="AU27" s="170"/>
      <c r="AV27" s="170"/>
      <c r="AW27" s="170"/>
      <c r="AX27" s="170"/>
      <c r="AY27" s="170"/>
      <c r="AZ27" s="170"/>
      <c r="BA27" s="170"/>
      <c r="BB27" s="170"/>
      <c r="BC27" s="170"/>
      <c r="BD27" s="170"/>
    </row>
    <row r="28" spans="1:56" outlineLevel="1">
      <c r="A28" s="155"/>
      <c r="B28" s="155" t="s">
        <v>983</v>
      </c>
      <c r="C28" s="155">
        <v>2</v>
      </c>
      <c r="D28" s="156" t="s">
        <v>1116</v>
      </c>
      <c r="E28" s="158"/>
      <c r="F28" s="158" t="s">
        <v>1111</v>
      </c>
      <c r="G28" s="158"/>
      <c r="H28" s="158"/>
      <c r="I28" s="158"/>
      <c r="J28" s="158"/>
      <c r="K28" s="158"/>
      <c r="L28" s="158"/>
      <c r="M28" s="159">
        <v>43718</v>
      </c>
      <c r="N28" s="159">
        <v>43735</v>
      </c>
      <c r="O28" s="160"/>
      <c r="P28" s="161">
        <v>12</v>
      </c>
      <c r="Q28" s="161">
        <v>12</v>
      </c>
      <c r="R28" s="162">
        <v>12</v>
      </c>
      <c r="S28" s="162">
        <v>12</v>
      </c>
      <c r="T28" s="159"/>
      <c r="U28" s="159"/>
      <c r="V28" s="163">
        <v>0</v>
      </c>
      <c r="W28" s="164">
        <v>0</v>
      </c>
      <c r="X28" s="165"/>
      <c r="Y28" s="222" t="s">
        <v>1114</v>
      </c>
      <c r="Z28" s="166"/>
      <c r="AA28" s="167">
        <v>1</v>
      </c>
      <c r="AB28" s="168">
        <v>1</v>
      </c>
      <c r="AC28" s="169"/>
      <c r="AD28" s="170"/>
      <c r="AE28" s="170"/>
      <c r="AF28" s="170"/>
      <c r="AG28" s="170"/>
      <c r="AH28" s="170"/>
      <c r="AI28" s="170"/>
      <c r="AJ28" s="170"/>
      <c r="AK28" s="170"/>
      <c r="AL28" s="170"/>
      <c r="AM28" s="170"/>
      <c r="AN28" s="170"/>
      <c r="AO28" s="170"/>
      <c r="AP28" s="170"/>
      <c r="AQ28" s="170"/>
      <c r="AR28" s="170"/>
      <c r="AS28" s="170"/>
      <c r="AT28" s="170"/>
      <c r="AU28" s="170"/>
      <c r="AV28" s="170"/>
      <c r="AW28" s="170"/>
      <c r="AX28" s="170"/>
      <c r="AY28" s="170"/>
      <c r="AZ28" s="170"/>
      <c r="BA28" s="170"/>
      <c r="BB28" s="170"/>
      <c r="BC28" s="170"/>
      <c r="BD28" s="170" t="str">
        <f>"" &amp; TEXT(AB28,"#0.00%") &amp; " " &amp; "채팅" &amp; "(백민종)" &amp; " " &amp; IF(M28="","",TEXT(M28,"M/D-")) &amp; IF(N28="","",TEXT(N28,"M/D")) &amp; " "</f>
        <v xml:space="preserve">100.00% 채팅(백민종) 9/10-9/27 </v>
      </c>
    </row>
    <row r="29" spans="1:56" outlineLevel="2">
      <c r="A29" s="155"/>
      <c r="B29" s="155"/>
      <c r="C29" s="155">
        <v>3</v>
      </c>
      <c r="D29" s="156" t="s">
        <v>1112</v>
      </c>
      <c r="E29" s="158"/>
      <c r="F29" s="158"/>
      <c r="G29" s="188" t="s">
        <v>1113</v>
      </c>
      <c r="H29" s="158"/>
      <c r="I29" s="158"/>
      <c r="J29" s="158"/>
      <c r="K29" s="158"/>
      <c r="L29" s="158"/>
      <c r="M29" s="159">
        <v>43718</v>
      </c>
      <c r="N29" s="159">
        <v>43735</v>
      </c>
      <c r="O29" s="160"/>
      <c r="P29" s="161">
        <v>12</v>
      </c>
      <c r="Q29" s="161">
        <v>12</v>
      </c>
      <c r="R29" s="162">
        <v>12</v>
      </c>
      <c r="S29" s="162">
        <v>12</v>
      </c>
      <c r="T29" s="159"/>
      <c r="U29" s="159"/>
      <c r="V29" s="163"/>
      <c r="W29" s="164">
        <v>0</v>
      </c>
      <c r="X29" s="165">
        <v>1</v>
      </c>
      <c r="Y29" s="222" t="s">
        <v>1114</v>
      </c>
      <c r="Z29" s="166"/>
      <c r="AA29" s="167">
        <v>1</v>
      </c>
      <c r="AB29" s="168">
        <v>1</v>
      </c>
      <c r="AC29" s="169"/>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70"/>
      <c r="BD29" s="170" t="str">
        <f>"" &amp; TEXT(AB29,"#0.00%") &amp; " " &amp; "node.js 이용한 스프링 기반의 웹 채팅 " &amp; "(백민종)" &amp; " " &amp; IF(M29="","",TEXT(M29,"M/D-")) &amp; IF(N29="","",TEXT(N29,"M/D")) &amp; " "</f>
        <v xml:space="preserve">100.00% node.js 이용한 스프링 기반의 웹 채팅 (백민종) 9/10-9/27 </v>
      </c>
    </row>
    <row r="30" spans="1:56" outlineLevel="1">
      <c r="A30" s="155"/>
      <c r="B30" s="155"/>
      <c r="C30" s="155">
        <v>2</v>
      </c>
      <c r="D30" s="156" t="s">
        <v>1125</v>
      </c>
      <c r="E30" s="158"/>
      <c r="F30" s="188" t="s">
        <v>1117</v>
      </c>
      <c r="G30" s="158"/>
      <c r="H30" s="158"/>
      <c r="I30" s="158"/>
      <c r="J30" s="158"/>
      <c r="K30" s="158"/>
      <c r="L30" s="158"/>
      <c r="M30" s="159">
        <v>43718</v>
      </c>
      <c r="N30" s="159">
        <v>43719</v>
      </c>
      <c r="O30" s="160"/>
      <c r="P30" s="161">
        <v>2</v>
      </c>
      <c r="Q30" s="161">
        <v>2</v>
      </c>
      <c r="R30" s="162">
        <v>2</v>
      </c>
      <c r="S30" s="162">
        <v>2</v>
      </c>
      <c r="T30" s="159"/>
      <c r="U30" s="159"/>
      <c r="V30" s="163"/>
      <c r="W30" s="164">
        <v>0</v>
      </c>
      <c r="X30" s="165">
        <v>1</v>
      </c>
      <c r="Y30" s="160" t="s">
        <v>1124</v>
      </c>
      <c r="Z30" s="166"/>
      <c r="AA30" s="167">
        <v>1</v>
      </c>
      <c r="AB30" s="168">
        <v>1</v>
      </c>
      <c r="AC30" s="169"/>
      <c r="AD30" s="170"/>
      <c r="AE30" s="170"/>
      <c r="AF30" s="170"/>
      <c r="AG30" s="170"/>
      <c r="AH30" s="170"/>
      <c r="AI30" s="170"/>
      <c r="AJ30" s="170"/>
      <c r="AK30" s="170"/>
      <c r="AL30" s="170"/>
      <c r="AM30" s="170"/>
      <c r="AN30" s="170" t="str">
        <f>"" &amp; TEXT(AB30,"#0.00%") &amp; " " &amp; "회원가입" &amp; "(유동준)" &amp; " " &amp; IF(M30="","",TEXT(M30,"M/D-")) &amp; IF(N30="","",TEXT(N30,"M/D")) &amp; " "</f>
        <v xml:space="preserve">100.00% 회원가입(유동준) 9/10-9/11 </v>
      </c>
      <c r="AO30" s="170"/>
      <c r="AP30" s="170"/>
      <c r="AQ30" s="170"/>
      <c r="AR30" s="170"/>
      <c r="AS30" s="170"/>
      <c r="AT30" s="170"/>
      <c r="AU30" s="170"/>
      <c r="AV30" s="170"/>
      <c r="AW30" s="170"/>
      <c r="AX30" s="170"/>
      <c r="AY30" s="170"/>
      <c r="AZ30" s="170"/>
      <c r="BA30" s="170"/>
      <c r="BB30" s="170"/>
      <c r="BC30" s="170"/>
      <c r="BD30" s="170"/>
    </row>
    <row r="31" spans="1:56" outlineLevel="1">
      <c r="A31" s="155"/>
      <c r="B31" s="155"/>
      <c r="C31" s="155">
        <v>2</v>
      </c>
      <c r="D31" s="156" t="s">
        <v>1126</v>
      </c>
      <c r="E31" s="158"/>
      <c r="F31" s="188" t="s">
        <v>1118</v>
      </c>
      <c r="G31" s="188"/>
      <c r="H31" s="158"/>
      <c r="I31" s="158"/>
      <c r="J31" s="158"/>
      <c r="K31" s="158"/>
      <c r="L31" s="158"/>
      <c r="M31" s="159">
        <v>43719</v>
      </c>
      <c r="N31" s="159">
        <v>43731</v>
      </c>
      <c r="O31" s="160"/>
      <c r="P31" s="161">
        <v>7</v>
      </c>
      <c r="Q31" s="161">
        <v>7</v>
      </c>
      <c r="R31" s="162">
        <v>7</v>
      </c>
      <c r="S31" s="162">
        <v>7</v>
      </c>
      <c r="T31" s="159"/>
      <c r="U31" s="159"/>
      <c r="V31" s="163"/>
      <c r="W31" s="164">
        <v>0</v>
      </c>
      <c r="X31" s="165">
        <v>1</v>
      </c>
      <c r="Y31" s="160" t="s">
        <v>1124</v>
      </c>
      <c r="Z31" s="166"/>
      <c r="AA31" s="167">
        <v>1</v>
      </c>
      <c r="AB31" s="168">
        <v>1</v>
      </c>
      <c r="AC31" s="169"/>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0" t="str">
        <f>"" &amp; TEXT(AB31,"#0.00%") &amp; " " &amp; "로그인" &amp; "(유동준)" &amp; " " &amp; IF(M31="","",TEXT(M31,"M/D-")) &amp; IF(N31="","",TEXT(N31,"M/D")) &amp; " "</f>
        <v xml:space="preserve">100.00% 로그인(유동준) 9/11-9/23 </v>
      </c>
      <c r="BA31" s="170"/>
      <c r="BB31" s="170"/>
      <c r="BC31" s="170"/>
      <c r="BD31" s="170"/>
    </row>
    <row r="32" spans="1:56" outlineLevel="1">
      <c r="A32" s="155"/>
      <c r="B32" s="155" t="s">
        <v>983</v>
      </c>
      <c r="C32" s="155">
        <v>2</v>
      </c>
      <c r="D32" s="156" t="s">
        <v>1127</v>
      </c>
      <c r="E32" s="158"/>
      <c r="F32" s="188" t="s">
        <v>1119</v>
      </c>
      <c r="G32" s="158"/>
      <c r="H32" s="158"/>
      <c r="I32" s="158"/>
      <c r="J32" s="158"/>
      <c r="K32" s="158"/>
      <c r="L32" s="158"/>
      <c r="M32" s="159">
        <v>43731</v>
      </c>
      <c r="N32" s="159">
        <v>43734</v>
      </c>
      <c r="O32" s="160"/>
      <c r="P32" s="161">
        <v>8</v>
      </c>
      <c r="Q32" s="161">
        <v>8</v>
      </c>
      <c r="R32" s="162">
        <v>4</v>
      </c>
      <c r="S32" s="162">
        <v>4</v>
      </c>
      <c r="T32" s="159"/>
      <c r="U32" s="159"/>
      <c r="V32" s="163">
        <v>0</v>
      </c>
      <c r="W32" s="164">
        <v>0</v>
      </c>
      <c r="X32" s="165"/>
      <c r="Y32" s="160" t="s">
        <v>1124</v>
      </c>
      <c r="Z32" s="166"/>
      <c r="AA32" s="167">
        <v>1</v>
      </c>
      <c r="AB32" s="168">
        <v>1</v>
      </c>
      <c r="AC32" s="169"/>
      <c r="AD32" s="170"/>
      <c r="AE32" s="170"/>
      <c r="AF32" s="170"/>
      <c r="AG32" s="170"/>
      <c r="AH32" s="170"/>
      <c r="AI32" s="170"/>
      <c r="AJ32" s="170"/>
      <c r="AK32" s="170"/>
      <c r="AL32" s="170"/>
      <c r="AM32" s="170"/>
      <c r="AN32" s="170"/>
      <c r="AO32" s="170"/>
      <c r="AP32" s="170"/>
      <c r="AQ32" s="170"/>
      <c r="AR32" s="170"/>
      <c r="AS32" s="170"/>
      <c r="AT32" s="170"/>
      <c r="AU32" s="170"/>
      <c r="AV32" s="170"/>
      <c r="AW32" s="170"/>
      <c r="AX32" s="170"/>
      <c r="AY32" s="170"/>
      <c r="AZ32" s="170"/>
      <c r="BA32" s="170"/>
      <c r="BB32" s="170"/>
      <c r="BC32" s="170" t="str">
        <f>"" &amp; TEXT(AB32,"#0.00%") &amp; " " &amp; "마이페이지" &amp; "(유동준)" &amp; " " &amp; IF(M32="","",TEXT(M32,"M/D-")) &amp; IF(N32="","",TEXT(N32,"M/D")) &amp; " "</f>
        <v xml:space="preserve">100.00% 마이페이지(유동준) 9/23-9/26 </v>
      </c>
      <c r="BD32" s="170"/>
    </row>
    <row r="33" spans="1:56" outlineLevel="2">
      <c r="A33" s="155"/>
      <c r="B33" s="155"/>
      <c r="C33" s="155">
        <v>3</v>
      </c>
      <c r="D33" s="156" t="s">
        <v>1122</v>
      </c>
      <c r="E33" s="158"/>
      <c r="F33" s="158"/>
      <c r="G33" s="188" t="s">
        <v>1120</v>
      </c>
      <c r="H33" s="158"/>
      <c r="I33" s="158"/>
      <c r="J33" s="158"/>
      <c r="K33" s="158"/>
      <c r="L33" s="158"/>
      <c r="M33" s="159">
        <v>43731</v>
      </c>
      <c r="N33" s="159">
        <v>43734</v>
      </c>
      <c r="O33" s="160"/>
      <c r="P33" s="161">
        <v>4</v>
      </c>
      <c r="Q33" s="161">
        <v>4</v>
      </c>
      <c r="R33" s="162">
        <v>4</v>
      </c>
      <c r="S33" s="162">
        <v>4</v>
      </c>
      <c r="T33" s="159"/>
      <c r="U33" s="159"/>
      <c r="V33" s="163"/>
      <c r="W33" s="164">
        <v>0</v>
      </c>
      <c r="X33" s="165">
        <v>1</v>
      </c>
      <c r="Y33" s="160" t="s">
        <v>1124</v>
      </c>
      <c r="Z33" s="166"/>
      <c r="AA33" s="167">
        <v>1</v>
      </c>
      <c r="AB33" s="168">
        <v>1</v>
      </c>
      <c r="AC33" s="169"/>
      <c r="AD33" s="170"/>
      <c r="AE33" s="170"/>
      <c r="AF33" s="170"/>
      <c r="AG33" s="170"/>
      <c r="AH33" s="170"/>
      <c r="AI33" s="170"/>
      <c r="AJ33" s="170"/>
      <c r="AK33" s="170"/>
      <c r="AL33" s="170"/>
      <c r="AM33" s="170"/>
      <c r="AN33" s="170"/>
      <c r="AO33" s="170"/>
      <c r="AP33" s="170"/>
      <c r="AQ33" s="170"/>
      <c r="AR33" s="170"/>
      <c r="AS33" s="170"/>
      <c r="AT33" s="170"/>
      <c r="AU33" s="170"/>
      <c r="AV33" s="170"/>
      <c r="AW33" s="170"/>
      <c r="AX33" s="170"/>
      <c r="AY33" s="170"/>
      <c r="AZ33" s="170"/>
      <c r="BA33" s="170"/>
      <c r="BB33" s="170"/>
      <c r="BC33" s="170" t="str">
        <f>"" &amp; TEXT(AB33,"#0.00%") &amp; " " &amp; "개인정보변경" &amp; "(유동준)" &amp; " " &amp; IF(M33="","",TEXT(M33,"M/D-")) &amp; IF(N33="","",TEXT(N33,"M/D")) &amp; " "</f>
        <v xml:space="preserve">100.00% 개인정보변경(유동준) 9/23-9/26 </v>
      </c>
      <c r="BD33" s="170"/>
    </row>
    <row r="34" spans="1:56" outlineLevel="2">
      <c r="A34" s="155"/>
      <c r="B34" s="155"/>
      <c r="C34" s="155">
        <v>3</v>
      </c>
      <c r="D34" s="156" t="s">
        <v>1123</v>
      </c>
      <c r="E34" s="158"/>
      <c r="F34" s="158"/>
      <c r="G34" s="188" t="s">
        <v>1121</v>
      </c>
      <c r="H34" s="158"/>
      <c r="I34" s="158"/>
      <c r="J34" s="158"/>
      <c r="K34" s="158"/>
      <c r="L34" s="158"/>
      <c r="M34" s="159">
        <v>43731</v>
      </c>
      <c r="N34" s="159">
        <v>43734</v>
      </c>
      <c r="O34" s="160"/>
      <c r="P34" s="161">
        <v>4</v>
      </c>
      <c r="Q34" s="161">
        <v>4</v>
      </c>
      <c r="R34" s="162">
        <v>4</v>
      </c>
      <c r="S34" s="162">
        <v>4</v>
      </c>
      <c r="T34" s="159"/>
      <c r="U34" s="159"/>
      <c r="V34" s="163"/>
      <c r="W34" s="164">
        <v>0</v>
      </c>
      <c r="X34" s="165">
        <v>1</v>
      </c>
      <c r="Y34" s="160" t="s">
        <v>1124</v>
      </c>
      <c r="Z34" s="166"/>
      <c r="AA34" s="167">
        <v>1</v>
      </c>
      <c r="AB34" s="168">
        <v>1</v>
      </c>
      <c r="AC34" s="169"/>
      <c r="AD34" s="170"/>
      <c r="AE34" s="170"/>
      <c r="AF34" s="170"/>
      <c r="AG34" s="170"/>
      <c r="AH34" s="170"/>
      <c r="AI34" s="170"/>
      <c r="AJ34" s="170"/>
      <c r="AK34" s="170"/>
      <c r="AL34" s="170"/>
      <c r="AM34" s="170"/>
      <c r="AN34" s="170"/>
      <c r="AO34" s="170"/>
      <c r="AP34" s="170"/>
      <c r="AQ34" s="170"/>
      <c r="AR34" s="170"/>
      <c r="AS34" s="170"/>
      <c r="AT34" s="170"/>
      <c r="AU34" s="170"/>
      <c r="AV34" s="170"/>
      <c r="AW34" s="170"/>
      <c r="AX34" s="170"/>
      <c r="AY34" s="170"/>
      <c r="AZ34" s="170"/>
      <c r="BA34" s="170"/>
      <c r="BB34" s="170"/>
      <c r="BC34" s="170" t="str">
        <f>"" &amp; TEXT(AB34,"#0.00%") &amp; " " &amp; "고수 등록" &amp; "(유동준)" &amp; " " &amp; IF(M34="","",TEXT(M34,"M/D-")) &amp; IF(N34="","",TEXT(N34,"M/D")) &amp; " "</f>
        <v xml:space="preserve">100.00% 고수 등록(유동준) 9/23-9/26 </v>
      </c>
      <c r="BD34" s="170"/>
    </row>
    <row r="35" spans="1:56" outlineLevel="1">
      <c r="A35" s="155"/>
      <c r="B35" s="155" t="s">
        <v>983</v>
      </c>
      <c r="C35" s="155">
        <v>2</v>
      </c>
      <c r="D35" s="156" t="s">
        <v>1142</v>
      </c>
      <c r="E35" s="158"/>
      <c r="F35" s="188" t="s">
        <v>1133</v>
      </c>
      <c r="G35" s="158"/>
      <c r="H35" s="158"/>
      <c r="I35" s="158"/>
      <c r="J35" s="158"/>
      <c r="K35" s="158"/>
      <c r="L35" s="158"/>
      <c r="M35" s="159">
        <v>43718</v>
      </c>
      <c r="N35" s="223">
        <v>43735</v>
      </c>
      <c r="O35" s="160"/>
      <c r="P35" s="161">
        <v>12</v>
      </c>
      <c r="Q35" s="161">
        <v>12</v>
      </c>
      <c r="R35" s="162">
        <v>12</v>
      </c>
      <c r="S35" s="162">
        <v>12</v>
      </c>
      <c r="T35" s="159"/>
      <c r="U35" s="159"/>
      <c r="V35" s="163">
        <v>0</v>
      </c>
      <c r="W35" s="164">
        <v>0</v>
      </c>
      <c r="X35" s="165"/>
      <c r="Y35" s="222" t="s">
        <v>1139</v>
      </c>
      <c r="Z35" s="166"/>
      <c r="AA35" s="167">
        <v>1</v>
      </c>
      <c r="AB35" s="168">
        <v>0.58333333333333337</v>
      </c>
      <c r="AC35" s="169"/>
      <c r="AD35" s="170"/>
      <c r="AE35" s="170"/>
      <c r="AF35" s="170"/>
      <c r="AG35" s="170"/>
      <c r="AH35" s="170"/>
      <c r="AI35" s="170"/>
      <c r="AJ35" s="170"/>
      <c r="AK35" s="170"/>
      <c r="AL35" s="170"/>
      <c r="AM35" s="170"/>
      <c r="AN35" s="170"/>
      <c r="AO35" s="170"/>
      <c r="AP35" s="170"/>
      <c r="AQ35" s="170"/>
      <c r="AR35" s="170"/>
      <c r="AS35" s="170"/>
      <c r="AT35" s="170"/>
      <c r="AU35" s="170"/>
      <c r="AV35" s="170"/>
      <c r="AW35" s="170" t="str">
        <f>"" &amp; TEXT(AB35,"#0.00%") &amp; " "</f>
        <v xml:space="preserve">58.33% </v>
      </c>
      <c r="AX35" s="170"/>
      <c r="AY35" s="170"/>
      <c r="AZ35" s="170"/>
      <c r="BA35" s="170"/>
      <c r="BB35" s="170"/>
      <c r="BC35" s="170"/>
      <c r="BD35" s="170" t="str">
        <f>"" &amp; "고수 랭킹" &amp; "(송주은)" &amp; " " &amp; IF(M35="","",TEXT(M35,"M/D-")) &amp; IF(N35="","",TEXT(N35,"M/D")) &amp; " "</f>
        <v xml:space="preserve">고수 랭킹(송주은) 9/10-9/27 </v>
      </c>
    </row>
    <row r="36" spans="1:56" outlineLevel="2">
      <c r="A36" s="155"/>
      <c r="B36" s="155"/>
      <c r="C36" s="155">
        <v>3</v>
      </c>
      <c r="D36" s="156" t="s">
        <v>1129</v>
      </c>
      <c r="E36" s="158"/>
      <c r="F36" s="158"/>
      <c r="G36" s="188" t="s">
        <v>1134</v>
      </c>
      <c r="H36" s="158"/>
      <c r="I36" s="158"/>
      <c r="J36" s="158"/>
      <c r="K36" s="158"/>
      <c r="L36" s="158"/>
      <c r="M36" s="159">
        <v>43718</v>
      </c>
      <c r="N36" s="159">
        <v>43723</v>
      </c>
      <c r="O36" s="160"/>
      <c r="P36" s="161">
        <v>2</v>
      </c>
      <c r="Q36" s="161">
        <v>2</v>
      </c>
      <c r="R36" s="162">
        <v>2</v>
      </c>
      <c r="S36" s="162">
        <v>2</v>
      </c>
      <c r="T36" s="159"/>
      <c r="U36" s="159"/>
      <c r="V36" s="163"/>
      <c r="W36" s="164">
        <v>0</v>
      </c>
      <c r="X36" s="165">
        <v>1</v>
      </c>
      <c r="Y36" s="222" t="s">
        <v>1139</v>
      </c>
      <c r="Z36" s="166"/>
      <c r="AA36" s="167">
        <v>1</v>
      </c>
      <c r="AB36" s="168">
        <v>1</v>
      </c>
      <c r="AC36" s="169"/>
      <c r="AD36" s="170"/>
      <c r="AE36" s="170"/>
      <c r="AF36" s="170"/>
      <c r="AG36" s="170"/>
      <c r="AH36" s="170"/>
      <c r="AI36" s="170"/>
      <c r="AJ36" s="170"/>
      <c r="AK36" s="170"/>
      <c r="AL36" s="170"/>
      <c r="AM36" s="170"/>
      <c r="AN36" s="170"/>
      <c r="AO36" s="170"/>
      <c r="AP36" s="170"/>
      <c r="AQ36" s="170"/>
      <c r="AR36" s="170" t="str">
        <f>"" &amp; TEXT(AB36,"#0.00%") &amp; " " &amp; "검색" &amp; "(송주은)" &amp; " " &amp; IF(M36="","",TEXT(M36,"M/D-")) &amp; IF(N36="","",TEXT(N36,"M/D")) &amp; " "</f>
        <v xml:space="preserve">100.00% 검색(송주은) 9/10-9/15 </v>
      </c>
      <c r="AS36" s="170"/>
      <c r="AT36" s="170"/>
      <c r="AU36" s="170"/>
      <c r="AV36" s="170"/>
      <c r="AW36" s="170"/>
      <c r="AX36" s="170"/>
      <c r="AY36" s="170"/>
      <c r="AZ36" s="170"/>
      <c r="BA36" s="170"/>
      <c r="BB36" s="170"/>
      <c r="BC36" s="170"/>
      <c r="BD36" s="170"/>
    </row>
    <row r="37" spans="1:56" outlineLevel="2">
      <c r="A37" s="155"/>
      <c r="B37" s="155"/>
      <c r="C37" s="155">
        <v>3</v>
      </c>
      <c r="D37" s="156" t="s">
        <v>1130</v>
      </c>
      <c r="E37" s="158"/>
      <c r="F37" s="158"/>
      <c r="G37" s="188" t="s">
        <v>1135</v>
      </c>
      <c r="H37" s="158"/>
      <c r="I37" s="158"/>
      <c r="J37" s="158"/>
      <c r="K37" s="158"/>
      <c r="L37" s="158"/>
      <c r="M37" s="223">
        <v>43724</v>
      </c>
      <c r="N37" s="223">
        <v>43728</v>
      </c>
      <c r="O37" s="160"/>
      <c r="P37" s="161">
        <v>5</v>
      </c>
      <c r="Q37" s="161">
        <v>5</v>
      </c>
      <c r="R37" s="162">
        <v>5</v>
      </c>
      <c r="S37" s="162">
        <v>5</v>
      </c>
      <c r="T37" s="159"/>
      <c r="U37" s="159"/>
      <c r="V37" s="163"/>
      <c r="W37" s="164">
        <v>0</v>
      </c>
      <c r="X37" s="165">
        <v>1</v>
      </c>
      <c r="Y37" s="222" t="s">
        <v>1139</v>
      </c>
      <c r="Z37" s="166"/>
      <c r="AA37" s="167">
        <v>1</v>
      </c>
      <c r="AB37" s="168">
        <v>1</v>
      </c>
      <c r="AC37" s="169"/>
      <c r="AD37" s="170"/>
      <c r="AE37" s="170"/>
      <c r="AF37" s="170"/>
      <c r="AG37" s="170"/>
      <c r="AH37" s="170"/>
      <c r="AI37" s="170"/>
      <c r="AJ37" s="170"/>
      <c r="AK37" s="170"/>
      <c r="AL37" s="170"/>
      <c r="AM37" s="170"/>
      <c r="AN37" s="170"/>
      <c r="AO37" s="170"/>
      <c r="AP37" s="170"/>
      <c r="AQ37" s="170"/>
      <c r="AR37" s="170"/>
      <c r="AS37" s="170"/>
      <c r="AT37" s="170"/>
      <c r="AU37" s="170"/>
      <c r="AV37" s="170"/>
      <c r="AW37" s="170" t="str">
        <f>"" &amp; TEXT(AB37,"#0.00%") &amp; " " &amp; "고수페이지" &amp; "(송주은)" &amp; " " &amp; IF(M37="","",TEXT(M37,"M/D-")) &amp; IF(N37="","",TEXT(N37,"M/D")) &amp; " "</f>
        <v xml:space="preserve">100.00% 고수페이지(송주은) 9/16-9/20 </v>
      </c>
      <c r="AX37" s="170"/>
      <c r="AY37" s="170"/>
      <c r="AZ37" s="170"/>
      <c r="BA37" s="170"/>
      <c r="BB37" s="170"/>
      <c r="BC37" s="170"/>
      <c r="BD37" s="170"/>
    </row>
    <row r="38" spans="1:56" s="243" customFormat="1" outlineLevel="2">
      <c r="A38" s="228"/>
      <c r="B38" s="228"/>
      <c r="C38" s="228">
        <v>3</v>
      </c>
      <c r="D38" s="229" t="s">
        <v>1131</v>
      </c>
      <c r="E38" s="230"/>
      <c r="F38" s="230"/>
      <c r="G38" s="245" t="s">
        <v>1132</v>
      </c>
      <c r="H38" s="230"/>
      <c r="I38" s="230"/>
      <c r="J38" s="230"/>
      <c r="K38" s="230"/>
      <c r="L38" s="230"/>
      <c r="M38" s="246">
        <v>43729</v>
      </c>
      <c r="N38" s="246">
        <v>43735</v>
      </c>
      <c r="O38" s="233"/>
      <c r="P38" s="234">
        <v>5</v>
      </c>
      <c r="Q38" s="234">
        <v>5</v>
      </c>
      <c r="R38" s="235">
        <v>5</v>
      </c>
      <c r="S38" s="235">
        <v>5</v>
      </c>
      <c r="T38" s="232"/>
      <c r="U38" s="232"/>
      <c r="V38" s="236"/>
      <c r="W38" s="237">
        <v>0</v>
      </c>
      <c r="X38" s="238">
        <v>1</v>
      </c>
      <c r="Y38" s="244" t="s">
        <v>1139</v>
      </c>
      <c r="Z38" s="240"/>
      <c r="AA38" s="241">
        <v>1</v>
      </c>
      <c r="AB38" s="242">
        <v>0</v>
      </c>
      <c r="AC38" s="169"/>
      <c r="AD38" s="170"/>
      <c r="AE38" s="170"/>
      <c r="AF38" s="170"/>
      <c r="AG38" s="170"/>
      <c r="AH38" s="170"/>
      <c r="AI38" s="170"/>
      <c r="AJ38" s="170"/>
      <c r="AK38" s="170"/>
      <c r="AL38" s="170"/>
      <c r="AM38" s="170"/>
      <c r="AN38" s="170"/>
      <c r="AO38" s="170"/>
      <c r="AP38" s="170"/>
      <c r="AQ38" s="170"/>
      <c r="AR38" s="170"/>
      <c r="AS38" s="170"/>
      <c r="AT38" s="170"/>
      <c r="AU38" s="170"/>
      <c r="AV38" s="170"/>
      <c r="AW38" s="170" t="str">
        <f>"" &amp; TEXT(AB38,"#0.00%") &amp; " "</f>
        <v xml:space="preserve">0.00% </v>
      </c>
      <c r="AX38" s="170"/>
      <c r="AY38" s="170"/>
      <c r="AZ38" s="170"/>
      <c r="BA38" s="170"/>
      <c r="BB38" s="170"/>
      <c r="BC38" s="170"/>
      <c r="BD38" s="170" t="str">
        <f>"" &amp; "랭킹" &amp; "(송주은)" &amp; " " &amp; IF(M38="","",TEXT(M38,"M/D-")) &amp; IF(N38="","",TEXT(N38,"M/D")) &amp; " "</f>
        <v xml:space="preserve">랭킹(송주은) 9/21-9/27 </v>
      </c>
    </row>
    <row r="39" spans="1:56" ht="17.25" outlineLevel="1">
      <c r="A39" s="155"/>
      <c r="B39" s="155" t="s">
        <v>983</v>
      </c>
      <c r="C39" s="155">
        <v>2</v>
      </c>
      <c r="D39" s="156" t="s">
        <v>1143</v>
      </c>
      <c r="E39" s="158"/>
      <c r="F39" s="224" t="s">
        <v>1136</v>
      </c>
      <c r="G39" s="158"/>
      <c r="H39" s="158"/>
      <c r="I39" s="158"/>
      <c r="J39" s="158"/>
      <c r="K39" s="158"/>
      <c r="L39" s="158"/>
      <c r="M39" s="223">
        <v>43718</v>
      </c>
      <c r="N39" s="223">
        <v>43728</v>
      </c>
      <c r="O39" s="160"/>
      <c r="P39" s="161">
        <v>7</v>
      </c>
      <c r="Q39" s="161">
        <v>7</v>
      </c>
      <c r="R39" s="162">
        <v>7</v>
      </c>
      <c r="S39" s="162">
        <v>7</v>
      </c>
      <c r="T39" s="159"/>
      <c r="U39" s="159"/>
      <c r="V39" s="163">
        <v>0</v>
      </c>
      <c r="W39" s="164">
        <v>0</v>
      </c>
      <c r="X39" s="165"/>
      <c r="Y39" s="222" t="s">
        <v>1139</v>
      </c>
      <c r="Z39" s="166"/>
      <c r="AA39" s="167">
        <v>1</v>
      </c>
      <c r="AB39" s="168">
        <v>1</v>
      </c>
      <c r="AC39" s="169"/>
      <c r="AD39" s="170"/>
      <c r="AE39" s="170"/>
      <c r="AF39" s="170"/>
      <c r="AG39" s="170"/>
      <c r="AH39" s="170"/>
      <c r="AI39" s="170"/>
      <c r="AJ39" s="170"/>
      <c r="AK39" s="170"/>
      <c r="AL39" s="170"/>
      <c r="AM39" s="170"/>
      <c r="AN39" s="170"/>
      <c r="AO39" s="170"/>
      <c r="AP39" s="170"/>
      <c r="AQ39" s="170"/>
      <c r="AR39" s="170"/>
      <c r="AS39" s="170"/>
      <c r="AT39" s="170"/>
      <c r="AU39" s="170"/>
      <c r="AV39" s="170"/>
      <c r="AW39" s="170" t="str">
        <f>"" &amp; TEXT(AB39,"#0.00%") &amp; " " &amp; "받은 요청" &amp; "(송주은)" &amp; " " &amp; IF(M39="","",TEXT(M39,"M/D-")) &amp; IF(N39="","",TEXT(N39,"M/D")) &amp; " "</f>
        <v xml:space="preserve">100.00% 받은 요청(송주은) 9/10-9/20 </v>
      </c>
      <c r="AX39" s="170"/>
      <c r="AY39" s="170"/>
      <c r="AZ39" s="170"/>
      <c r="BA39" s="170"/>
      <c r="BB39" s="170"/>
      <c r="BC39" s="170"/>
      <c r="BD39" s="170"/>
    </row>
    <row r="40" spans="1:56" outlineLevel="2">
      <c r="A40" s="155"/>
      <c r="B40" s="155"/>
      <c r="C40" s="155">
        <v>3</v>
      </c>
      <c r="D40" s="156" t="s">
        <v>1144</v>
      </c>
      <c r="E40" s="158"/>
      <c r="F40" s="158"/>
      <c r="G40" s="225" t="s">
        <v>1137</v>
      </c>
      <c r="H40" s="158"/>
      <c r="I40" s="158"/>
      <c r="J40" s="158"/>
      <c r="K40" s="158"/>
      <c r="L40" s="158"/>
      <c r="M40" s="223">
        <v>43724</v>
      </c>
      <c r="N40" s="223">
        <v>43728</v>
      </c>
      <c r="O40" s="160"/>
      <c r="P40" s="161">
        <v>5</v>
      </c>
      <c r="Q40" s="161">
        <v>5</v>
      </c>
      <c r="R40" s="162">
        <v>5</v>
      </c>
      <c r="S40" s="162">
        <v>5</v>
      </c>
      <c r="T40" s="159"/>
      <c r="U40" s="159"/>
      <c r="V40" s="163"/>
      <c r="W40" s="164">
        <v>0</v>
      </c>
      <c r="X40" s="165">
        <v>1</v>
      </c>
      <c r="Y40" s="222" t="s">
        <v>1139</v>
      </c>
      <c r="Z40" s="166"/>
      <c r="AA40" s="167">
        <v>1</v>
      </c>
      <c r="AB40" s="168">
        <v>1</v>
      </c>
      <c r="AC40" s="169"/>
      <c r="AD40" s="170"/>
      <c r="AE40" s="170"/>
      <c r="AF40" s="170"/>
      <c r="AG40" s="170"/>
      <c r="AH40" s="170"/>
      <c r="AI40" s="170"/>
      <c r="AJ40" s="170"/>
      <c r="AK40" s="170"/>
      <c r="AL40" s="170"/>
      <c r="AM40" s="170"/>
      <c r="AN40" s="170"/>
      <c r="AO40" s="170"/>
      <c r="AP40" s="170"/>
      <c r="AQ40" s="170"/>
      <c r="AR40" s="170"/>
      <c r="AS40" s="170"/>
      <c r="AT40" s="170"/>
      <c r="AU40" s="170"/>
      <c r="AV40" s="170"/>
      <c r="AW40" s="170" t="str">
        <f>"" &amp; TEXT(AB40,"#0.00%") &amp; " " &amp; "받은 요청 목록" &amp; "(송주은)" &amp; " " &amp; IF(M40="","",TEXT(M40,"M/D-")) &amp; IF(N40="","",TEXT(N40,"M/D")) &amp; " "</f>
        <v xml:space="preserve">100.00% 받은 요청 목록(송주은) 9/16-9/20 </v>
      </c>
      <c r="AX40" s="170"/>
      <c r="AY40" s="170"/>
      <c r="AZ40" s="170"/>
      <c r="BA40" s="170"/>
      <c r="BB40" s="170"/>
      <c r="BC40" s="170"/>
      <c r="BD40" s="170"/>
    </row>
    <row r="41" spans="1:56" outlineLevel="2">
      <c r="A41" s="155"/>
      <c r="B41" s="155"/>
      <c r="C41" s="155">
        <v>3</v>
      </c>
      <c r="D41" s="156" t="s">
        <v>1145</v>
      </c>
      <c r="E41" s="158"/>
      <c r="F41" s="158"/>
      <c r="G41" s="188" t="s">
        <v>1138</v>
      </c>
      <c r="H41" s="158"/>
      <c r="I41" s="158"/>
      <c r="J41" s="158"/>
      <c r="K41" s="158"/>
      <c r="L41" s="158"/>
      <c r="M41" s="223">
        <v>43718</v>
      </c>
      <c r="N41" s="223">
        <v>43720</v>
      </c>
      <c r="O41" s="160"/>
      <c r="P41" s="161">
        <v>2</v>
      </c>
      <c r="Q41" s="161">
        <v>2</v>
      </c>
      <c r="R41" s="162">
        <v>2</v>
      </c>
      <c r="S41" s="162">
        <v>2</v>
      </c>
      <c r="T41" s="159"/>
      <c r="U41" s="159"/>
      <c r="V41" s="163"/>
      <c r="W41" s="164">
        <v>0</v>
      </c>
      <c r="X41" s="165">
        <v>1</v>
      </c>
      <c r="Y41" s="222" t="s">
        <v>1139</v>
      </c>
      <c r="Z41" s="166"/>
      <c r="AA41" s="167">
        <v>1</v>
      </c>
      <c r="AB41" s="168">
        <v>1</v>
      </c>
      <c r="AC41" s="169"/>
      <c r="AD41" s="170"/>
      <c r="AE41" s="170"/>
      <c r="AF41" s="170"/>
      <c r="AG41" s="170"/>
      <c r="AH41" s="170"/>
      <c r="AI41" s="170"/>
      <c r="AJ41" s="170"/>
      <c r="AK41" s="170"/>
      <c r="AL41" s="170"/>
      <c r="AM41" s="170"/>
      <c r="AN41" s="170"/>
      <c r="AO41" s="170" t="str">
        <f>"" &amp; TEXT(AB41,"#0.00%") &amp; " " &amp; "견적서 작성" &amp; "(송주은)" &amp; " " &amp; IF(M41="","",TEXT(M41,"M/D-")) &amp; IF(N41="","",TEXT(N41,"M/D")) &amp; " "</f>
        <v xml:space="preserve">100.00% 견적서 작성(송주은) 9/10-9/12 </v>
      </c>
      <c r="AP41" s="170"/>
      <c r="AQ41" s="170"/>
      <c r="AR41" s="170"/>
      <c r="AS41" s="170"/>
      <c r="AT41" s="170"/>
      <c r="AU41" s="170"/>
      <c r="AV41" s="170"/>
      <c r="AW41" s="170"/>
      <c r="AX41" s="170"/>
      <c r="AY41" s="170"/>
      <c r="AZ41" s="170"/>
      <c r="BA41" s="170"/>
      <c r="BB41" s="170"/>
      <c r="BC41" s="170"/>
      <c r="BD41" s="170"/>
    </row>
    <row r="42" spans="1:56" outlineLevel="1">
      <c r="A42" s="155"/>
      <c r="B42" s="155" t="s">
        <v>983</v>
      </c>
      <c r="C42" s="155">
        <v>2</v>
      </c>
      <c r="D42" s="156" t="s">
        <v>1146</v>
      </c>
      <c r="E42" s="158"/>
      <c r="F42" s="158" t="s">
        <v>1128</v>
      </c>
      <c r="G42" s="188"/>
      <c r="H42" s="158"/>
      <c r="I42" s="158"/>
      <c r="J42" s="158"/>
      <c r="K42" s="158"/>
      <c r="L42" s="158"/>
      <c r="M42" s="159">
        <v>43718</v>
      </c>
      <c r="N42" s="159">
        <v>43724</v>
      </c>
      <c r="O42" s="160"/>
      <c r="P42" s="161">
        <v>6</v>
      </c>
      <c r="Q42" s="161">
        <v>6</v>
      </c>
      <c r="R42" s="162">
        <v>3</v>
      </c>
      <c r="S42" s="162">
        <v>3</v>
      </c>
      <c r="T42" s="159"/>
      <c r="U42" s="159"/>
      <c r="V42" s="163">
        <v>0</v>
      </c>
      <c r="W42" s="164">
        <v>0</v>
      </c>
      <c r="X42" s="165"/>
      <c r="Y42" s="222" t="s">
        <v>1157</v>
      </c>
      <c r="Z42" s="166"/>
      <c r="AA42" s="167">
        <v>1</v>
      </c>
      <c r="AB42" s="168">
        <v>1</v>
      </c>
      <c r="AC42" s="169"/>
      <c r="AD42" s="170"/>
      <c r="AE42" s="170"/>
      <c r="AF42" s="170"/>
      <c r="AG42" s="170"/>
      <c r="AH42" s="170"/>
      <c r="AI42" s="170"/>
      <c r="AJ42" s="170"/>
      <c r="AK42" s="170"/>
      <c r="AL42" s="170"/>
      <c r="AM42" s="170"/>
      <c r="AN42" s="170"/>
      <c r="AO42" s="170"/>
      <c r="AP42" s="170"/>
      <c r="AQ42" s="170"/>
      <c r="AR42" s="170"/>
      <c r="AS42" s="170" t="str">
        <f>"" &amp; TEXT(AB42,"#0.00%") &amp; " " &amp; "제공 서비스 관리" &amp; "(한혜원)" &amp; " " &amp; IF(M42="","",TEXT(M42,"M/D-")) &amp; IF(N42="","",TEXT(N42,"M/D")) &amp; " "</f>
        <v xml:space="preserve">100.00% 제공 서비스 관리(한혜원) 9/10-9/16 </v>
      </c>
      <c r="AT42" s="170"/>
      <c r="AU42" s="170"/>
      <c r="AV42" s="170"/>
      <c r="AW42" s="170"/>
      <c r="AX42" s="170"/>
      <c r="AY42" s="170"/>
      <c r="AZ42" s="170"/>
      <c r="BA42" s="170"/>
      <c r="BB42" s="170"/>
      <c r="BC42" s="170"/>
      <c r="BD42" s="170"/>
    </row>
    <row r="43" spans="1:56" outlineLevel="2">
      <c r="A43" s="155"/>
      <c r="B43" s="155"/>
      <c r="C43" s="155">
        <v>3</v>
      </c>
      <c r="D43" s="156" t="s">
        <v>1147</v>
      </c>
      <c r="E43" s="158"/>
      <c r="F43" s="226"/>
      <c r="G43" s="157" t="s">
        <v>1140</v>
      </c>
      <c r="H43" s="158"/>
      <c r="I43" s="158"/>
      <c r="J43" s="158"/>
      <c r="K43" s="158"/>
      <c r="L43" s="158"/>
      <c r="M43" s="223">
        <v>43718</v>
      </c>
      <c r="N43" s="223">
        <v>43724</v>
      </c>
      <c r="O43" s="160"/>
      <c r="P43" s="161">
        <v>3</v>
      </c>
      <c r="Q43" s="161">
        <v>3</v>
      </c>
      <c r="R43" s="162">
        <v>3</v>
      </c>
      <c r="S43" s="162">
        <v>3</v>
      </c>
      <c r="T43" s="159"/>
      <c r="U43" s="159"/>
      <c r="V43" s="163"/>
      <c r="W43" s="164">
        <v>0</v>
      </c>
      <c r="X43" s="165">
        <v>1</v>
      </c>
      <c r="Y43" s="222" t="s">
        <v>1157</v>
      </c>
      <c r="Z43" s="166"/>
      <c r="AA43" s="167">
        <v>1</v>
      </c>
      <c r="AB43" s="168">
        <v>1</v>
      </c>
      <c r="AC43" s="169"/>
      <c r="AD43" s="170"/>
      <c r="AE43" s="170"/>
      <c r="AF43" s="170"/>
      <c r="AG43" s="170"/>
      <c r="AH43" s="170"/>
      <c r="AI43" s="170"/>
      <c r="AJ43" s="170"/>
      <c r="AK43" s="170"/>
      <c r="AL43" s="170"/>
      <c r="AM43" s="170"/>
      <c r="AN43" s="170"/>
      <c r="AO43" s="170"/>
      <c r="AP43" s="170"/>
      <c r="AQ43" s="170"/>
      <c r="AR43" s="170"/>
      <c r="AS43" s="170" t="str">
        <f>"" &amp; TEXT(AB43,"#0.00%") &amp; " " &amp; "제공 서비스 추가" &amp; "(한혜원)" &amp; " " &amp; IF(M43="","",TEXT(M43,"M/D-")) &amp; IF(N43="","",TEXT(N43,"M/D")) &amp; " "</f>
        <v xml:space="preserve">100.00% 제공 서비스 추가(한혜원) 9/10-9/16 </v>
      </c>
      <c r="AT43" s="170"/>
      <c r="AU43" s="170"/>
      <c r="AV43" s="170"/>
      <c r="AW43" s="170"/>
      <c r="AX43" s="170"/>
      <c r="AY43" s="170"/>
      <c r="AZ43" s="170"/>
      <c r="BA43" s="170"/>
      <c r="BB43" s="170"/>
      <c r="BC43" s="170"/>
      <c r="BD43" s="170"/>
    </row>
    <row r="44" spans="1:56" outlineLevel="2">
      <c r="A44" s="155"/>
      <c r="B44" s="155"/>
      <c r="C44" s="155">
        <v>3</v>
      </c>
      <c r="D44" s="156" t="s">
        <v>1148</v>
      </c>
      <c r="E44" s="158"/>
      <c r="F44" s="226"/>
      <c r="G44" s="157" t="s">
        <v>1141</v>
      </c>
      <c r="H44" s="158"/>
      <c r="I44" s="158"/>
      <c r="J44" s="158"/>
      <c r="K44" s="158"/>
      <c r="L44" s="158"/>
      <c r="M44" s="223">
        <v>43718</v>
      </c>
      <c r="N44" s="223">
        <v>43724</v>
      </c>
      <c r="O44" s="160"/>
      <c r="P44" s="161">
        <v>3</v>
      </c>
      <c r="Q44" s="161">
        <v>3</v>
      </c>
      <c r="R44" s="162">
        <v>3</v>
      </c>
      <c r="S44" s="162">
        <v>3</v>
      </c>
      <c r="T44" s="159"/>
      <c r="U44" s="159"/>
      <c r="V44" s="163"/>
      <c r="W44" s="164">
        <v>0</v>
      </c>
      <c r="X44" s="165">
        <v>1</v>
      </c>
      <c r="Y44" s="222" t="s">
        <v>1157</v>
      </c>
      <c r="Z44" s="166"/>
      <c r="AA44" s="167">
        <v>1</v>
      </c>
      <c r="AB44" s="168">
        <v>1</v>
      </c>
      <c r="AC44" s="169"/>
      <c r="AD44" s="170"/>
      <c r="AE44" s="170"/>
      <c r="AF44" s="170"/>
      <c r="AG44" s="170"/>
      <c r="AH44" s="170"/>
      <c r="AI44" s="170"/>
      <c r="AJ44" s="170"/>
      <c r="AK44" s="170"/>
      <c r="AL44" s="170"/>
      <c r="AM44" s="170"/>
      <c r="AN44" s="170"/>
      <c r="AO44" s="170"/>
      <c r="AP44" s="170"/>
      <c r="AQ44" s="170"/>
      <c r="AR44" s="170"/>
      <c r="AS44" s="170" t="str">
        <f>"" &amp; TEXT(AB44,"#0.00%") &amp; " " &amp; "제공 서비스 삭제" &amp; "(한혜원)" &amp; " " &amp; IF(M44="","",TEXT(M44,"M/D-")) &amp; IF(N44="","",TEXT(N44,"M/D")) &amp; " "</f>
        <v xml:space="preserve">100.00% 제공 서비스 삭제(한혜원) 9/10-9/16 </v>
      </c>
      <c r="AT44" s="170"/>
      <c r="AU44" s="170"/>
      <c r="AV44" s="170"/>
      <c r="AW44" s="170"/>
      <c r="AX44" s="170"/>
      <c r="AY44" s="170"/>
      <c r="AZ44" s="170"/>
      <c r="BA44" s="170"/>
      <c r="BB44" s="170"/>
      <c r="BC44" s="170"/>
      <c r="BD44" s="170"/>
    </row>
    <row r="45" spans="1:56" outlineLevel="1">
      <c r="A45" s="155"/>
      <c r="B45" s="155"/>
      <c r="C45" s="155">
        <v>2</v>
      </c>
      <c r="D45" s="156" t="s">
        <v>1149</v>
      </c>
      <c r="E45" s="158"/>
      <c r="F45" s="225" t="s">
        <v>1150</v>
      </c>
      <c r="G45" s="158"/>
      <c r="H45" s="158"/>
      <c r="I45" s="158"/>
      <c r="J45" s="158"/>
      <c r="K45" s="158"/>
      <c r="L45" s="158"/>
      <c r="M45" s="223">
        <v>43725</v>
      </c>
      <c r="N45" s="223">
        <v>43727</v>
      </c>
      <c r="O45" s="160"/>
      <c r="P45" s="161">
        <v>3</v>
      </c>
      <c r="Q45" s="161">
        <v>3</v>
      </c>
      <c r="R45" s="162">
        <v>3</v>
      </c>
      <c r="S45" s="162">
        <v>3</v>
      </c>
      <c r="T45" s="159"/>
      <c r="U45" s="159"/>
      <c r="V45" s="163"/>
      <c r="W45" s="164">
        <v>0</v>
      </c>
      <c r="X45" s="165">
        <v>1</v>
      </c>
      <c r="Y45" s="222" t="s">
        <v>1157</v>
      </c>
      <c r="Z45" s="166"/>
      <c r="AA45" s="167">
        <v>1</v>
      </c>
      <c r="AB45" s="168">
        <v>1</v>
      </c>
      <c r="AC45" s="169"/>
      <c r="AD45" s="170"/>
      <c r="AE45" s="170"/>
      <c r="AF45" s="170"/>
      <c r="AG45" s="170"/>
      <c r="AH45" s="170"/>
      <c r="AI45" s="170"/>
      <c r="AJ45" s="170"/>
      <c r="AK45" s="170"/>
      <c r="AL45" s="170"/>
      <c r="AM45" s="170"/>
      <c r="AN45" s="170"/>
      <c r="AO45" s="170"/>
      <c r="AP45" s="170"/>
      <c r="AQ45" s="170"/>
      <c r="AR45" s="170"/>
      <c r="AS45" s="170"/>
      <c r="AT45" s="170"/>
      <c r="AU45" s="170"/>
      <c r="AV45" s="170" t="str">
        <f>"" &amp; TEXT(AB45,"#0.00%") &amp; " " &amp; "질문 관리" &amp; "(한혜원)" &amp; " " &amp; IF(M45="","",TEXT(M45,"M/D-")) &amp; IF(N45="","",TEXT(N45,"M/D")) &amp; " "</f>
        <v xml:space="preserve">100.00% 질문 관리(한혜원) 9/17-9/19 </v>
      </c>
      <c r="AW45" s="170"/>
      <c r="AX45" s="170"/>
      <c r="AY45" s="170"/>
      <c r="AZ45" s="170"/>
      <c r="BA45" s="170"/>
      <c r="BB45" s="170"/>
      <c r="BC45" s="170"/>
      <c r="BD45" s="170"/>
    </row>
    <row r="46" spans="1:56" ht="17.25" outlineLevel="1">
      <c r="A46" s="155"/>
      <c r="B46" s="155" t="s">
        <v>983</v>
      </c>
      <c r="C46" s="155">
        <v>2</v>
      </c>
      <c r="D46" s="156" t="s">
        <v>1153</v>
      </c>
      <c r="E46" s="158"/>
      <c r="F46" s="217" t="s">
        <v>1151</v>
      </c>
      <c r="G46" s="158"/>
      <c r="H46" s="158"/>
      <c r="I46" s="158"/>
      <c r="J46" s="158"/>
      <c r="K46" s="158"/>
      <c r="L46" s="158"/>
      <c r="M46" s="159">
        <v>43728</v>
      </c>
      <c r="N46" s="159">
        <v>43733</v>
      </c>
      <c r="O46" s="160"/>
      <c r="P46" s="161">
        <v>4</v>
      </c>
      <c r="Q46" s="161">
        <v>4</v>
      </c>
      <c r="R46" s="162">
        <v>4</v>
      </c>
      <c r="S46" s="162">
        <v>4</v>
      </c>
      <c r="T46" s="159"/>
      <c r="U46" s="159"/>
      <c r="V46" s="163">
        <v>0</v>
      </c>
      <c r="W46" s="164">
        <v>0</v>
      </c>
      <c r="X46" s="165"/>
      <c r="Y46" s="222" t="s">
        <v>1157</v>
      </c>
      <c r="Z46" s="166"/>
      <c r="AA46" s="167">
        <v>1</v>
      </c>
      <c r="AB46" s="168">
        <v>1</v>
      </c>
      <c r="AC46" s="169"/>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170"/>
      <c r="BA46" s="170"/>
      <c r="BB46" s="170" t="str">
        <f>"" &amp; TEXT(AB46,"#0.00%") &amp; " " &amp; "프로필설정" &amp; "(한혜원)" &amp; " " &amp; IF(M46="","",TEXT(M46,"M/D-")) &amp; IF(N46="","",TEXT(N46,"M/D")) &amp; " "</f>
        <v xml:space="preserve">100.00% 프로필설정(한혜원) 9/20-9/25 </v>
      </c>
      <c r="BC46" s="170"/>
      <c r="BD46" s="170"/>
    </row>
    <row r="47" spans="1:56" ht="17.25" outlineLevel="2">
      <c r="A47" s="155"/>
      <c r="B47" s="155"/>
      <c r="C47" s="155">
        <v>3</v>
      </c>
      <c r="D47" s="156" t="s">
        <v>1154</v>
      </c>
      <c r="E47" s="158"/>
      <c r="F47" s="158"/>
      <c r="G47" s="217" t="s">
        <v>1152</v>
      </c>
      <c r="H47" s="158"/>
      <c r="I47" s="158"/>
      <c r="J47" s="158"/>
      <c r="K47" s="158"/>
      <c r="L47" s="158"/>
      <c r="M47" s="223">
        <v>43728</v>
      </c>
      <c r="N47" s="223">
        <v>43730</v>
      </c>
      <c r="O47" s="160"/>
      <c r="P47" s="161">
        <v>1</v>
      </c>
      <c r="Q47" s="161">
        <v>1</v>
      </c>
      <c r="R47" s="162">
        <v>1</v>
      </c>
      <c r="S47" s="162">
        <v>1</v>
      </c>
      <c r="T47" s="159"/>
      <c r="U47" s="159"/>
      <c r="V47" s="163"/>
      <c r="W47" s="164">
        <v>0</v>
      </c>
      <c r="X47" s="165">
        <v>1</v>
      </c>
      <c r="Y47" s="222" t="s">
        <v>1157</v>
      </c>
      <c r="Z47" s="166"/>
      <c r="AA47" s="167">
        <v>1</v>
      </c>
      <c r="AB47" s="168">
        <v>1</v>
      </c>
      <c r="AC47" s="169"/>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t="str">
        <f>"" &amp; TEXT(AB47,"#0.00%") &amp; " " &amp; "고수프로필 추가" &amp; "(한혜원)" &amp; " " &amp; IF(M47="","",TEXT(M47,"M/D-")) &amp; IF(N47="","",TEXT(N47,"M/D")) &amp; " "</f>
        <v xml:space="preserve">100.00% 고수프로필 추가(한혜원) 9/20-9/22 </v>
      </c>
      <c r="AZ47" s="170"/>
      <c r="BA47" s="170"/>
      <c r="BB47" s="170"/>
      <c r="BC47" s="170"/>
      <c r="BD47" s="170"/>
    </row>
    <row r="48" spans="1:56" outlineLevel="2">
      <c r="A48" s="155"/>
      <c r="B48" s="155"/>
      <c r="C48" s="155">
        <v>3</v>
      </c>
      <c r="D48" s="156" t="s">
        <v>1156</v>
      </c>
      <c r="E48" s="158"/>
      <c r="F48" s="158"/>
      <c r="G48" s="188" t="s">
        <v>1155</v>
      </c>
      <c r="H48" s="158"/>
      <c r="I48" s="158"/>
      <c r="J48" s="158"/>
      <c r="K48" s="158"/>
      <c r="L48" s="158"/>
      <c r="M48" s="223">
        <v>43731</v>
      </c>
      <c r="N48" s="223">
        <v>43733</v>
      </c>
      <c r="O48" s="160"/>
      <c r="P48" s="161">
        <v>3</v>
      </c>
      <c r="Q48" s="161">
        <v>3</v>
      </c>
      <c r="R48" s="162">
        <v>3</v>
      </c>
      <c r="S48" s="162">
        <v>3</v>
      </c>
      <c r="T48" s="159"/>
      <c r="U48" s="159"/>
      <c r="V48" s="163"/>
      <c r="W48" s="164">
        <v>0</v>
      </c>
      <c r="X48" s="165">
        <v>1</v>
      </c>
      <c r="Y48" s="222" t="s">
        <v>1157</v>
      </c>
      <c r="Z48" s="166"/>
      <c r="AA48" s="167">
        <v>1</v>
      </c>
      <c r="AB48" s="168">
        <v>1</v>
      </c>
      <c r="AC48" s="169"/>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170"/>
      <c r="BA48" s="170"/>
      <c r="BB48" s="170" t="str">
        <f>"" &amp; TEXT(AB48,"#0.00%") &amp; " " &amp; "고수프로필 수정" &amp; "(한혜원)" &amp; " " &amp; IF(M48="","",TEXT(M48,"M/D-")) &amp; IF(N48="","",TEXT(N48,"M/D")) &amp; " "</f>
        <v xml:space="preserve">100.00% 고수프로필 수정(한혜원) 9/23-9/25 </v>
      </c>
      <c r="BC48" s="170"/>
      <c r="BD48" s="170"/>
    </row>
    <row r="49" spans="1:56" outlineLevel="1">
      <c r="A49" s="155"/>
      <c r="B49" s="155"/>
      <c r="C49" s="155">
        <v>2</v>
      </c>
      <c r="D49" s="156" t="s">
        <v>1158</v>
      </c>
      <c r="E49" s="158"/>
      <c r="F49" s="227" t="s">
        <v>1159</v>
      </c>
      <c r="G49" s="157"/>
      <c r="H49" s="158"/>
      <c r="I49" s="158"/>
      <c r="J49" s="158"/>
      <c r="K49" s="158"/>
      <c r="L49" s="158"/>
      <c r="M49" s="223">
        <v>43733</v>
      </c>
      <c r="N49" s="223">
        <v>43735</v>
      </c>
      <c r="O49" s="160"/>
      <c r="P49" s="161">
        <v>3</v>
      </c>
      <c r="Q49" s="161">
        <v>3</v>
      </c>
      <c r="R49" s="162">
        <v>3</v>
      </c>
      <c r="S49" s="162">
        <v>3</v>
      </c>
      <c r="T49" s="159"/>
      <c r="U49" s="159"/>
      <c r="V49" s="163"/>
      <c r="W49" s="164">
        <v>0</v>
      </c>
      <c r="X49" s="165">
        <v>1</v>
      </c>
      <c r="Y49" s="222" t="s">
        <v>1157</v>
      </c>
      <c r="Z49" s="166"/>
      <c r="AA49" s="167">
        <v>1</v>
      </c>
      <c r="AB49" s="168">
        <v>1</v>
      </c>
      <c r="AC49" s="169"/>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170"/>
      <c r="BA49" s="170"/>
      <c r="BB49" s="170"/>
      <c r="BC49" s="170"/>
      <c r="BD49" s="170" t="str">
        <f>"" &amp; TEXT(AB49,"#0.00%") &amp; " " &amp; "리뷰 요청/작성" &amp; "(한혜원)" &amp; " " &amp; IF(M49="","",TEXT(M49,"M/D-")) &amp; IF(N49="","",TEXT(N49,"M/D")) &amp; " "</f>
        <v xml:space="preserve">100.00% 리뷰 요청/작성(한혜원) 9/25-9/27 </v>
      </c>
    </row>
    <row r="50" spans="1:56">
      <c r="A50" s="174"/>
      <c r="B50" s="174"/>
      <c r="C50" s="174">
        <v>4</v>
      </c>
      <c r="D50" s="175"/>
      <c r="E50" s="176"/>
      <c r="F50" s="176"/>
      <c r="G50" s="176"/>
      <c r="H50" s="176"/>
      <c r="I50" s="176"/>
      <c r="J50" s="176"/>
      <c r="K50" s="176"/>
      <c r="L50" s="176"/>
      <c r="M50" s="177"/>
      <c r="N50" s="177"/>
      <c r="O50" s="178"/>
      <c r="P50" s="179"/>
      <c r="Q50" s="179"/>
      <c r="R50" s="180"/>
      <c r="S50" s="180"/>
      <c r="T50" s="177"/>
      <c r="U50" s="177"/>
      <c r="V50" s="181"/>
      <c r="W50" s="182"/>
      <c r="X50" s="183"/>
      <c r="Y50" s="178"/>
      <c r="Z50" s="184"/>
      <c r="AA50" s="185"/>
      <c r="AB50" s="186"/>
      <c r="AC50" s="187"/>
      <c r="AD50" s="187"/>
      <c r="AE50" s="187"/>
      <c r="AF50" s="187"/>
      <c r="AG50" s="187"/>
      <c r="AH50" s="187"/>
      <c r="AI50" s="187"/>
      <c r="AJ50" s="187"/>
      <c r="AK50" s="187"/>
      <c r="AL50" s="187"/>
      <c r="AM50" s="187"/>
      <c r="AN50" s="187"/>
      <c r="AO50" s="187"/>
      <c r="AP50" s="187"/>
      <c r="AQ50" s="187"/>
      <c r="AR50" s="187"/>
      <c r="AS50" s="187"/>
      <c r="AT50" s="187"/>
      <c r="AU50" s="187"/>
      <c r="AV50" s="187"/>
      <c r="AW50" s="187"/>
      <c r="AX50" s="187"/>
      <c r="AY50" s="187"/>
      <c r="AZ50" s="187"/>
      <c r="BA50" s="187"/>
      <c r="BB50" s="187"/>
      <c r="BC50" s="187"/>
      <c r="BD50" s="187"/>
    </row>
    <row r="51" spans="1:56">
      <c r="A51" s="155"/>
      <c r="B51" s="155"/>
      <c r="C51" s="155">
        <v>4</v>
      </c>
      <c r="D51" s="156"/>
      <c r="E51" s="158"/>
      <c r="F51" s="158"/>
      <c r="G51" s="158"/>
      <c r="H51" s="158"/>
      <c r="I51" s="158"/>
      <c r="J51" s="158"/>
      <c r="K51" s="158"/>
      <c r="L51" s="158"/>
      <c r="M51" s="159"/>
      <c r="N51" s="159"/>
      <c r="O51" s="160"/>
      <c r="P51" s="161"/>
      <c r="Q51" s="161"/>
      <c r="R51" s="162"/>
      <c r="S51" s="162"/>
      <c r="T51" s="159"/>
      <c r="U51" s="159"/>
      <c r="V51" s="163"/>
      <c r="W51" s="164"/>
      <c r="X51" s="165"/>
      <c r="Y51" s="160"/>
      <c r="Z51" s="166"/>
      <c r="AA51" s="167"/>
      <c r="AB51" s="168"/>
    </row>
    <row r="52" spans="1:56">
      <c r="A52" s="155"/>
      <c r="B52" s="155"/>
      <c r="C52" s="155">
        <v>4</v>
      </c>
      <c r="D52" s="156"/>
      <c r="E52" s="158"/>
      <c r="F52" s="158"/>
      <c r="G52" s="158"/>
      <c r="H52" s="158"/>
      <c r="I52" s="158"/>
      <c r="J52" s="158"/>
      <c r="K52" s="158"/>
      <c r="L52" s="158"/>
      <c r="M52" s="159"/>
      <c r="N52" s="159"/>
      <c r="O52" s="160"/>
      <c r="P52" s="161"/>
      <c r="Q52" s="161"/>
      <c r="R52" s="162"/>
      <c r="S52" s="162"/>
      <c r="T52" s="159"/>
      <c r="U52" s="159"/>
      <c r="V52" s="163"/>
      <c r="W52" s="164"/>
      <c r="X52" s="165"/>
      <c r="Y52" s="160"/>
      <c r="Z52" s="166"/>
      <c r="AA52" s="167"/>
      <c r="AB52" s="168"/>
    </row>
    <row r="53" spans="1:56">
      <c r="A53" s="174"/>
      <c r="B53" s="174"/>
      <c r="C53" s="174"/>
      <c r="D53" s="175"/>
      <c r="E53" s="176"/>
      <c r="F53" s="176"/>
      <c r="G53" s="176"/>
      <c r="H53" s="176"/>
      <c r="I53" s="176"/>
      <c r="J53" s="176"/>
      <c r="K53" s="176"/>
      <c r="L53" s="176"/>
      <c r="M53" s="177"/>
      <c r="N53" s="177"/>
      <c r="O53" s="178"/>
      <c r="P53" s="179"/>
      <c r="Q53" s="179"/>
      <c r="R53" s="180"/>
      <c r="S53" s="180"/>
      <c r="T53" s="177"/>
      <c r="U53" s="177"/>
      <c r="V53" s="181"/>
      <c r="W53" s="182"/>
      <c r="X53" s="183"/>
      <c r="Y53" s="178"/>
      <c r="Z53" s="184"/>
      <c r="AA53" s="185"/>
      <c r="AB53" s="186"/>
    </row>
    <row r="54" spans="1:56">
      <c r="A54" s="155"/>
      <c r="B54" s="155"/>
      <c r="C54" s="155"/>
      <c r="D54" s="156"/>
      <c r="E54" s="158"/>
      <c r="F54" s="158"/>
      <c r="G54" s="158"/>
      <c r="H54" s="158"/>
      <c r="I54" s="158"/>
      <c r="J54" s="158"/>
      <c r="K54" s="158"/>
      <c r="L54" s="158"/>
      <c r="M54" s="159"/>
      <c r="N54" s="159"/>
      <c r="O54" s="160"/>
      <c r="P54" s="161"/>
      <c r="Q54" s="161"/>
      <c r="R54" s="162"/>
      <c r="S54" s="162"/>
      <c r="T54" s="159"/>
      <c r="U54" s="159"/>
      <c r="V54" s="163"/>
      <c r="W54" s="164"/>
      <c r="X54" s="165"/>
      <c r="Y54" s="160"/>
      <c r="Z54" s="166"/>
      <c r="AA54" s="167"/>
      <c r="AB54" s="168"/>
    </row>
    <row r="55" spans="1:56">
      <c r="A55" s="155"/>
      <c r="B55" s="155"/>
      <c r="C55" s="155"/>
      <c r="D55" s="156"/>
      <c r="E55" s="158"/>
      <c r="F55" s="158"/>
      <c r="G55" s="158"/>
      <c r="H55" s="158"/>
      <c r="I55" s="158"/>
      <c r="J55" s="158"/>
      <c r="K55" s="158"/>
      <c r="L55" s="158"/>
      <c r="M55" s="159"/>
      <c r="N55" s="159"/>
      <c r="O55" s="160"/>
      <c r="P55" s="161"/>
      <c r="Q55" s="161"/>
      <c r="R55" s="162"/>
      <c r="S55" s="162"/>
      <c r="T55" s="159"/>
      <c r="U55" s="159"/>
      <c r="V55" s="163"/>
      <c r="W55" s="164"/>
      <c r="X55" s="165"/>
      <c r="Y55" s="160"/>
      <c r="Z55" s="166"/>
      <c r="AA55" s="167"/>
      <c r="AB55" s="168"/>
    </row>
    <row r="56" spans="1:56">
      <c r="A56" s="155"/>
      <c r="B56" s="155"/>
      <c r="C56" s="155"/>
      <c r="D56" s="156"/>
      <c r="E56" s="158"/>
      <c r="F56" s="158"/>
      <c r="G56" s="158"/>
      <c r="H56" s="158"/>
      <c r="I56" s="158"/>
      <c r="J56" s="158"/>
      <c r="K56" s="158"/>
      <c r="L56" s="158"/>
      <c r="M56" s="159"/>
      <c r="N56" s="159"/>
      <c r="O56" s="160"/>
      <c r="P56" s="161"/>
      <c r="Q56" s="161"/>
      <c r="R56" s="162"/>
      <c r="S56" s="162"/>
      <c r="T56" s="159"/>
      <c r="U56" s="159"/>
      <c r="V56" s="163"/>
      <c r="W56" s="164"/>
      <c r="X56" s="165"/>
      <c r="Y56" s="160"/>
      <c r="Z56" s="166"/>
      <c r="AA56" s="167"/>
      <c r="AB56" s="168"/>
    </row>
    <row r="57" spans="1:56">
      <c r="A57" s="155"/>
      <c r="B57" s="155"/>
      <c r="C57" s="155"/>
      <c r="D57" s="156"/>
      <c r="E57" s="158"/>
      <c r="F57" s="158"/>
      <c r="G57" s="158"/>
      <c r="H57" s="158"/>
      <c r="I57" s="158"/>
      <c r="J57" s="158"/>
      <c r="K57" s="158"/>
      <c r="L57" s="158"/>
      <c r="M57" s="159"/>
      <c r="N57" s="159"/>
      <c r="O57" s="160"/>
      <c r="P57" s="161"/>
      <c r="Q57" s="161"/>
      <c r="R57" s="162"/>
      <c r="S57" s="162"/>
      <c r="T57" s="159"/>
      <c r="U57" s="159"/>
      <c r="V57" s="163"/>
      <c r="W57" s="164"/>
      <c r="X57" s="165"/>
      <c r="Y57" s="160"/>
      <c r="Z57" s="166"/>
      <c r="AA57" s="167"/>
      <c r="AB57" s="168"/>
    </row>
    <row r="58" spans="1:56">
      <c r="A58" s="155"/>
      <c r="B58" s="155"/>
      <c r="C58" s="155"/>
      <c r="D58" s="156"/>
      <c r="E58" s="158"/>
      <c r="F58" s="158"/>
      <c r="G58" s="158"/>
      <c r="H58" s="158"/>
      <c r="I58" s="158"/>
      <c r="J58" s="158"/>
      <c r="K58" s="158"/>
      <c r="L58" s="158"/>
      <c r="M58" s="159"/>
      <c r="N58" s="159"/>
      <c r="O58" s="160"/>
      <c r="P58" s="161"/>
      <c r="Q58" s="161"/>
      <c r="R58" s="162"/>
      <c r="S58" s="162"/>
      <c r="T58" s="159"/>
      <c r="U58" s="159"/>
      <c r="V58" s="163"/>
      <c r="W58" s="164"/>
      <c r="X58" s="165"/>
      <c r="Y58" s="160"/>
      <c r="Z58" s="166"/>
      <c r="AA58" s="167"/>
      <c r="AB58" s="168"/>
    </row>
    <row r="59" spans="1:56">
      <c r="A59" s="155"/>
      <c r="B59" s="155"/>
      <c r="C59" s="155"/>
      <c r="D59" s="156"/>
      <c r="E59" s="158"/>
      <c r="F59" s="158"/>
      <c r="G59" s="158"/>
      <c r="H59" s="158"/>
      <c r="I59" s="158"/>
      <c r="J59" s="158"/>
      <c r="K59" s="158"/>
      <c r="L59" s="158"/>
      <c r="M59" s="159"/>
      <c r="N59" s="159"/>
      <c r="O59" s="160"/>
      <c r="P59" s="161"/>
      <c r="Q59" s="161"/>
      <c r="R59" s="162"/>
      <c r="S59" s="162"/>
      <c r="T59" s="159"/>
      <c r="U59" s="159"/>
      <c r="V59" s="163"/>
      <c r="W59" s="164"/>
      <c r="X59" s="165"/>
      <c r="Y59" s="160"/>
      <c r="Z59" s="166"/>
      <c r="AA59" s="167"/>
      <c r="AB59" s="168"/>
    </row>
    <row r="60" spans="1:56">
      <c r="A60" s="155"/>
      <c r="B60" s="155"/>
      <c r="C60" s="155"/>
      <c r="D60" s="156"/>
      <c r="E60" s="158"/>
      <c r="F60" s="158"/>
      <c r="G60" s="158"/>
      <c r="H60" s="158"/>
      <c r="I60" s="158"/>
      <c r="J60" s="158"/>
      <c r="K60" s="158"/>
      <c r="L60" s="158"/>
      <c r="M60" s="159"/>
      <c r="N60" s="159"/>
      <c r="O60" s="160"/>
      <c r="P60" s="161"/>
      <c r="Q60" s="161"/>
      <c r="R60" s="162"/>
      <c r="S60" s="162"/>
      <c r="T60" s="159"/>
      <c r="U60" s="159"/>
      <c r="V60" s="163"/>
      <c r="W60" s="164"/>
      <c r="X60" s="165"/>
      <c r="Y60" s="160"/>
      <c r="Z60" s="166"/>
      <c r="AA60" s="167"/>
      <c r="AB60" s="168"/>
    </row>
    <row r="61" spans="1:56">
      <c r="A61" s="155"/>
      <c r="B61" s="155"/>
      <c r="C61" s="155"/>
      <c r="D61" s="156"/>
      <c r="E61" s="158"/>
      <c r="F61" s="158"/>
      <c r="G61" s="158"/>
      <c r="H61" s="158"/>
      <c r="I61" s="158"/>
      <c r="J61" s="158"/>
      <c r="K61" s="158"/>
      <c r="L61" s="158"/>
      <c r="M61" s="159"/>
      <c r="N61" s="159"/>
      <c r="O61" s="160"/>
      <c r="P61" s="161"/>
      <c r="Q61" s="161"/>
      <c r="R61" s="162"/>
      <c r="S61" s="162"/>
      <c r="T61" s="159"/>
      <c r="U61" s="159"/>
      <c r="V61" s="163"/>
      <c r="W61" s="164"/>
      <c r="X61" s="165"/>
      <c r="Y61" s="160"/>
      <c r="Z61" s="166"/>
      <c r="AA61" s="167"/>
      <c r="AB61" s="168"/>
    </row>
    <row r="62" spans="1:56">
      <c r="A62" s="155"/>
      <c r="B62" s="155"/>
      <c r="C62" s="155"/>
      <c r="D62" s="156"/>
      <c r="E62" s="158"/>
      <c r="F62" s="158"/>
      <c r="G62" s="158"/>
      <c r="H62" s="158"/>
      <c r="I62" s="158"/>
      <c r="J62" s="158"/>
      <c r="K62" s="158"/>
      <c r="L62" s="158"/>
      <c r="M62" s="159"/>
      <c r="N62" s="159"/>
      <c r="O62" s="160"/>
      <c r="P62" s="161"/>
      <c r="Q62" s="161"/>
      <c r="R62" s="162"/>
      <c r="S62" s="162"/>
      <c r="T62" s="159"/>
      <c r="U62" s="159"/>
      <c r="V62" s="163"/>
      <c r="W62" s="164"/>
      <c r="X62" s="165"/>
      <c r="Y62" s="160"/>
      <c r="Z62" s="166"/>
      <c r="AA62" s="167"/>
      <c r="AB62" s="168"/>
    </row>
    <row r="63" spans="1:56">
      <c r="A63" s="155"/>
      <c r="B63" s="155"/>
      <c r="C63" s="155"/>
      <c r="D63" s="156"/>
      <c r="E63" s="158"/>
      <c r="F63" s="158"/>
      <c r="G63" s="158"/>
      <c r="H63" s="158"/>
      <c r="I63" s="158"/>
      <c r="J63" s="158"/>
      <c r="K63" s="158"/>
      <c r="L63" s="158"/>
      <c r="M63" s="159"/>
      <c r="N63" s="159"/>
      <c r="O63" s="160"/>
      <c r="P63" s="161"/>
      <c r="Q63" s="161"/>
      <c r="R63" s="162"/>
      <c r="S63" s="162"/>
      <c r="T63" s="159"/>
      <c r="U63" s="159"/>
      <c r="V63" s="163"/>
      <c r="W63" s="164"/>
      <c r="X63" s="165"/>
      <c r="Y63" s="160"/>
      <c r="Z63" s="166"/>
      <c r="AA63" s="167"/>
      <c r="AB63" s="168"/>
    </row>
    <row r="64" spans="1:56">
      <c r="A64" s="155"/>
      <c r="B64" s="155"/>
      <c r="C64" s="155"/>
      <c r="D64" s="156"/>
      <c r="E64" s="158"/>
      <c r="F64" s="158"/>
      <c r="G64" s="158"/>
      <c r="H64" s="158"/>
      <c r="I64" s="158"/>
      <c r="J64" s="158"/>
      <c r="K64" s="158"/>
      <c r="L64" s="158"/>
      <c r="M64" s="159"/>
      <c r="N64" s="159"/>
      <c r="O64" s="160"/>
      <c r="P64" s="161"/>
      <c r="Q64" s="161"/>
      <c r="R64" s="162"/>
      <c r="S64" s="162"/>
      <c r="T64" s="159"/>
      <c r="U64" s="159"/>
      <c r="V64" s="163"/>
      <c r="W64" s="164"/>
      <c r="X64" s="165"/>
      <c r="Y64" s="160"/>
      <c r="Z64" s="166"/>
      <c r="AA64" s="167"/>
      <c r="AB64" s="168"/>
    </row>
    <row r="65" spans="1:28">
      <c r="A65" s="155"/>
      <c r="B65" s="155"/>
      <c r="C65" s="155"/>
      <c r="D65" s="156"/>
      <c r="E65" s="158"/>
      <c r="F65" s="158"/>
      <c r="G65" s="158"/>
      <c r="H65" s="158"/>
      <c r="I65" s="158"/>
      <c r="J65" s="158"/>
      <c r="K65" s="158"/>
      <c r="L65" s="158"/>
      <c r="M65" s="159"/>
      <c r="N65" s="159"/>
      <c r="O65" s="160"/>
      <c r="P65" s="161"/>
      <c r="Q65" s="161"/>
      <c r="R65" s="162"/>
      <c r="S65" s="162"/>
      <c r="T65" s="159"/>
      <c r="U65" s="159"/>
      <c r="V65" s="163"/>
      <c r="W65" s="164"/>
      <c r="X65" s="165"/>
      <c r="Y65" s="160"/>
      <c r="Z65" s="166"/>
      <c r="AA65" s="167"/>
      <c r="AB65" s="168"/>
    </row>
    <row r="66" spans="1:28">
      <c r="A66" s="155"/>
      <c r="B66" s="155"/>
      <c r="C66" s="155"/>
      <c r="D66" s="156"/>
      <c r="E66" s="158"/>
      <c r="F66" s="158"/>
      <c r="G66" s="158"/>
      <c r="H66" s="158"/>
      <c r="I66" s="158"/>
      <c r="J66" s="158"/>
      <c r="K66" s="158"/>
      <c r="L66" s="158"/>
      <c r="M66" s="159"/>
      <c r="N66" s="159"/>
      <c r="O66" s="160"/>
      <c r="P66" s="161"/>
      <c r="Q66" s="161"/>
      <c r="R66" s="162"/>
      <c r="S66" s="162"/>
      <c r="T66" s="159"/>
      <c r="U66" s="159"/>
      <c r="V66" s="163"/>
      <c r="W66" s="164"/>
      <c r="X66" s="165"/>
      <c r="Y66" s="160"/>
      <c r="Z66" s="166"/>
      <c r="AA66" s="167"/>
      <c r="AB66" s="168"/>
    </row>
    <row r="67" spans="1:28">
      <c r="A67" s="155"/>
      <c r="B67" s="155"/>
      <c r="C67" s="155"/>
      <c r="D67" s="156"/>
      <c r="E67" s="158"/>
      <c r="F67" s="158"/>
      <c r="G67" s="158"/>
      <c r="H67" s="158"/>
      <c r="I67" s="158"/>
      <c r="J67" s="158"/>
      <c r="K67" s="158"/>
      <c r="L67" s="158"/>
      <c r="M67" s="159"/>
      <c r="N67" s="159"/>
      <c r="O67" s="160"/>
      <c r="P67" s="161"/>
      <c r="Q67" s="161"/>
      <c r="R67" s="162"/>
      <c r="S67" s="162"/>
      <c r="T67" s="159"/>
      <c r="U67" s="159"/>
      <c r="V67" s="163"/>
      <c r="W67" s="164"/>
      <c r="X67" s="165"/>
      <c r="Y67" s="160"/>
      <c r="Z67" s="166"/>
      <c r="AA67" s="167"/>
      <c r="AB67" s="168"/>
    </row>
    <row r="68" spans="1:28">
      <c r="A68" s="155"/>
      <c r="B68" s="155"/>
      <c r="C68" s="155"/>
      <c r="D68" s="156"/>
      <c r="E68" s="158"/>
      <c r="F68" s="158"/>
      <c r="G68" s="158"/>
      <c r="H68" s="158"/>
      <c r="I68" s="158"/>
      <c r="J68" s="158"/>
      <c r="K68" s="158"/>
      <c r="L68" s="158"/>
      <c r="M68" s="159"/>
      <c r="N68" s="159"/>
      <c r="O68" s="160"/>
      <c r="P68" s="161"/>
      <c r="Q68" s="161"/>
      <c r="R68" s="162"/>
      <c r="S68" s="162"/>
      <c r="T68" s="159"/>
      <c r="U68" s="159"/>
      <c r="V68" s="163"/>
      <c r="W68" s="164"/>
      <c r="X68" s="165"/>
      <c r="Y68" s="160"/>
      <c r="Z68" s="166"/>
      <c r="AA68" s="167"/>
      <c r="AB68" s="168"/>
    </row>
    <row r="69" spans="1:28">
      <c r="A69" s="155"/>
      <c r="B69" s="155"/>
      <c r="C69" s="155"/>
      <c r="D69" s="156"/>
      <c r="E69" s="158"/>
      <c r="F69" s="158"/>
      <c r="G69" s="158"/>
      <c r="H69" s="158"/>
      <c r="I69" s="158"/>
      <c r="J69" s="158"/>
      <c r="K69" s="158"/>
      <c r="L69" s="158"/>
      <c r="M69" s="159"/>
      <c r="N69" s="159"/>
      <c r="O69" s="160"/>
      <c r="P69" s="161"/>
      <c r="Q69" s="161"/>
      <c r="R69" s="162"/>
      <c r="S69" s="162"/>
      <c r="T69" s="159"/>
      <c r="U69" s="159"/>
      <c r="V69" s="163"/>
      <c r="W69" s="164"/>
      <c r="X69" s="165"/>
      <c r="Y69" s="160"/>
      <c r="Z69" s="166"/>
      <c r="AA69" s="167"/>
      <c r="AB69" s="168"/>
    </row>
    <row r="70" spans="1:28">
      <c r="A70" s="155"/>
      <c r="B70" s="155"/>
      <c r="C70" s="155"/>
      <c r="D70" s="156"/>
      <c r="E70" s="158"/>
      <c r="F70" s="158"/>
      <c r="G70" s="158"/>
      <c r="H70" s="158"/>
      <c r="I70" s="158"/>
      <c r="J70" s="158"/>
      <c r="K70" s="158"/>
      <c r="L70" s="158"/>
      <c r="M70" s="159"/>
      <c r="N70" s="159"/>
      <c r="O70" s="160"/>
      <c r="P70" s="161"/>
      <c r="Q70" s="161"/>
      <c r="R70" s="162"/>
      <c r="S70" s="162"/>
      <c r="T70" s="159"/>
      <c r="U70" s="159"/>
      <c r="V70" s="163"/>
      <c r="W70" s="164"/>
      <c r="X70" s="165"/>
      <c r="Y70" s="160"/>
      <c r="Z70" s="166"/>
      <c r="AA70" s="167"/>
      <c r="AB70" s="168"/>
    </row>
    <row r="71" spans="1:28">
      <c r="A71" s="155"/>
      <c r="B71" s="155"/>
      <c r="C71" s="155"/>
      <c r="D71" s="156"/>
      <c r="E71" s="158"/>
      <c r="F71" s="158"/>
      <c r="G71" s="158"/>
      <c r="H71" s="158"/>
      <c r="I71" s="158"/>
      <c r="J71" s="158"/>
      <c r="K71" s="158"/>
      <c r="L71" s="158"/>
      <c r="M71" s="159"/>
      <c r="N71" s="159"/>
      <c r="O71" s="160"/>
      <c r="P71" s="161"/>
      <c r="Q71" s="161"/>
      <c r="R71" s="162"/>
      <c r="S71" s="162"/>
      <c r="T71" s="159"/>
      <c r="U71" s="159"/>
      <c r="V71" s="163"/>
      <c r="W71" s="164"/>
      <c r="X71" s="165"/>
      <c r="Y71" s="160"/>
      <c r="Z71" s="166"/>
      <c r="AA71" s="167"/>
      <c r="AB71" s="168"/>
    </row>
    <row r="72" spans="1:28">
      <c r="A72" s="155"/>
      <c r="B72" s="155"/>
      <c r="C72" s="155"/>
      <c r="D72" s="156"/>
      <c r="E72" s="158"/>
      <c r="F72" s="158"/>
      <c r="G72" s="158"/>
      <c r="H72" s="158"/>
      <c r="I72" s="158"/>
      <c r="J72" s="158"/>
      <c r="K72" s="158"/>
      <c r="L72" s="158"/>
      <c r="M72" s="159"/>
      <c r="N72" s="159"/>
      <c r="O72" s="160"/>
      <c r="P72" s="161"/>
      <c r="Q72" s="161"/>
      <c r="R72" s="162"/>
      <c r="S72" s="162"/>
      <c r="T72" s="159"/>
      <c r="U72" s="159"/>
      <c r="V72" s="163"/>
      <c r="W72" s="164"/>
      <c r="X72" s="165"/>
      <c r="Y72" s="160"/>
      <c r="Z72" s="166"/>
      <c r="AA72" s="167"/>
      <c r="AB72" s="168"/>
    </row>
    <row r="73" spans="1:28">
      <c r="A73" s="155"/>
      <c r="B73" s="155"/>
      <c r="C73" s="155"/>
      <c r="D73" s="156"/>
      <c r="E73" s="158"/>
      <c r="F73" s="158"/>
      <c r="G73" s="158"/>
      <c r="H73" s="158"/>
      <c r="I73" s="158"/>
      <c r="J73" s="158"/>
      <c r="K73" s="158"/>
      <c r="L73" s="158"/>
      <c r="M73" s="159"/>
      <c r="N73" s="159"/>
      <c r="O73" s="160"/>
      <c r="P73" s="161"/>
      <c r="Q73" s="161"/>
      <c r="R73" s="162"/>
      <c r="S73" s="162"/>
      <c r="T73" s="159"/>
      <c r="U73" s="159"/>
      <c r="V73" s="163"/>
      <c r="W73" s="164"/>
      <c r="X73" s="165"/>
      <c r="Y73" s="160"/>
      <c r="Z73" s="166"/>
      <c r="AA73" s="167"/>
      <c r="AB73" s="168"/>
    </row>
    <row r="74" spans="1:28">
      <c r="A74" s="155"/>
      <c r="B74" s="155"/>
      <c r="C74" s="155"/>
      <c r="D74" s="156"/>
      <c r="E74" s="158"/>
      <c r="F74" s="158"/>
      <c r="G74" s="158"/>
      <c r="H74" s="158"/>
      <c r="I74" s="158"/>
      <c r="J74" s="158"/>
      <c r="K74" s="158"/>
      <c r="L74" s="158"/>
      <c r="M74" s="159"/>
      <c r="N74" s="159"/>
      <c r="O74" s="160"/>
      <c r="P74" s="161"/>
      <c r="Q74" s="161"/>
      <c r="R74" s="162"/>
      <c r="S74" s="162"/>
      <c r="T74" s="159"/>
      <c r="U74" s="159"/>
      <c r="V74" s="163"/>
      <c r="W74" s="164"/>
      <c r="X74" s="165"/>
      <c r="Y74" s="160"/>
      <c r="Z74" s="166"/>
      <c r="AA74" s="167"/>
      <c r="AB74" s="168"/>
    </row>
    <row r="75" spans="1:28">
      <c r="A75" s="155"/>
      <c r="B75" s="155"/>
      <c r="C75" s="155"/>
      <c r="D75" s="156"/>
      <c r="E75" s="158"/>
      <c r="F75" s="158"/>
      <c r="G75" s="158"/>
      <c r="H75" s="158"/>
      <c r="I75" s="158"/>
      <c r="J75" s="158"/>
      <c r="K75" s="158"/>
      <c r="L75" s="158"/>
      <c r="M75" s="159"/>
      <c r="N75" s="159"/>
      <c r="O75" s="160"/>
      <c r="P75" s="161"/>
      <c r="Q75" s="161"/>
      <c r="R75" s="162"/>
      <c r="S75" s="162"/>
      <c r="T75" s="159"/>
      <c r="U75" s="159"/>
      <c r="V75" s="163"/>
      <c r="W75" s="164"/>
      <c r="X75" s="165"/>
      <c r="Y75" s="160"/>
      <c r="Z75" s="166"/>
      <c r="AA75" s="167"/>
      <c r="AB75" s="168"/>
    </row>
    <row r="76" spans="1:28">
      <c r="A76" s="155"/>
      <c r="B76" s="155"/>
      <c r="C76" s="155"/>
      <c r="D76" s="156"/>
      <c r="E76" s="158"/>
      <c r="F76" s="158"/>
      <c r="G76" s="158"/>
      <c r="H76" s="158"/>
      <c r="I76" s="158"/>
      <c r="J76" s="158"/>
      <c r="K76" s="158"/>
      <c r="L76" s="158"/>
      <c r="M76" s="159"/>
      <c r="N76" s="159"/>
      <c r="O76" s="160"/>
      <c r="P76" s="161"/>
      <c r="Q76" s="161"/>
      <c r="R76" s="162"/>
      <c r="S76" s="162"/>
      <c r="T76" s="159"/>
      <c r="U76" s="159"/>
      <c r="V76" s="163"/>
      <c r="W76" s="164"/>
      <c r="X76" s="165"/>
      <c r="Y76" s="160"/>
      <c r="Z76" s="166"/>
      <c r="AA76" s="167"/>
      <c r="AB76" s="168"/>
    </row>
    <row r="77" spans="1:28">
      <c r="A77" s="155"/>
      <c r="B77" s="155"/>
      <c r="C77" s="155"/>
      <c r="D77" s="156"/>
      <c r="E77" s="158"/>
      <c r="F77" s="158"/>
      <c r="G77" s="158"/>
      <c r="H77" s="158"/>
      <c r="I77" s="158"/>
      <c r="J77" s="158"/>
      <c r="K77" s="158"/>
      <c r="L77" s="158"/>
      <c r="M77" s="159"/>
      <c r="N77" s="159"/>
      <c r="O77" s="160"/>
      <c r="P77" s="161"/>
      <c r="Q77" s="161"/>
      <c r="R77" s="162"/>
      <c r="S77" s="162"/>
      <c r="T77" s="159"/>
      <c r="U77" s="159"/>
      <c r="V77" s="163"/>
      <c r="W77" s="164"/>
      <c r="X77" s="165"/>
      <c r="Y77" s="160"/>
      <c r="Z77" s="166"/>
      <c r="AA77" s="167"/>
      <c r="AB77" s="168"/>
    </row>
    <row r="78" spans="1:28">
      <c r="A78" s="155"/>
      <c r="B78" s="155"/>
      <c r="C78" s="155"/>
      <c r="D78" s="156"/>
      <c r="E78" s="158"/>
      <c r="F78" s="158"/>
      <c r="G78" s="158"/>
      <c r="H78" s="158"/>
      <c r="I78" s="158"/>
      <c r="J78" s="158"/>
      <c r="K78" s="158"/>
      <c r="L78" s="158"/>
      <c r="M78" s="159"/>
      <c r="N78" s="159"/>
      <c r="O78" s="160"/>
      <c r="P78" s="161"/>
      <c r="Q78" s="161"/>
      <c r="R78" s="162"/>
      <c r="S78" s="162"/>
      <c r="T78" s="159"/>
      <c r="U78" s="159"/>
      <c r="V78" s="163"/>
      <c r="W78" s="164"/>
      <c r="X78" s="165"/>
      <c r="Y78" s="160"/>
      <c r="Z78" s="166"/>
      <c r="AA78" s="167"/>
      <c r="AB78" s="168"/>
    </row>
    <row r="79" spans="1:28">
      <c r="A79" s="155"/>
      <c r="B79" s="155"/>
      <c r="C79" s="155"/>
      <c r="D79" s="156"/>
      <c r="E79" s="158"/>
      <c r="F79" s="158"/>
      <c r="G79" s="158"/>
      <c r="H79" s="158"/>
      <c r="I79" s="158"/>
      <c r="J79" s="158"/>
      <c r="K79" s="158"/>
      <c r="L79" s="158"/>
      <c r="M79" s="159"/>
      <c r="N79" s="159"/>
      <c r="O79" s="160"/>
      <c r="P79" s="161"/>
      <c r="Q79" s="161"/>
      <c r="R79" s="162"/>
      <c r="S79" s="162"/>
      <c r="T79" s="159"/>
      <c r="U79" s="159"/>
      <c r="V79" s="163"/>
      <c r="W79" s="164"/>
      <c r="X79" s="165"/>
      <c r="Y79" s="160"/>
      <c r="Z79" s="166"/>
      <c r="AA79" s="167"/>
      <c r="AB79" s="168"/>
    </row>
    <row r="80" spans="1:28">
      <c r="A80" s="155"/>
      <c r="B80" s="155"/>
      <c r="C80" s="155"/>
      <c r="D80" s="156"/>
      <c r="E80" s="158"/>
      <c r="F80" s="158"/>
      <c r="G80" s="158"/>
      <c r="H80" s="158"/>
      <c r="I80" s="158"/>
      <c r="J80" s="158"/>
      <c r="K80" s="158"/>
      <c r="L80" s="158"/>
      <c r="M80" s="159"/>
      <c r="N80" s="159"/>
      <c r="O80" s="160"/>
      <c r="P80" s="161"/>
      <c r="Q80" s="161"/>
      <c r="R80" s="162"/>
      <c r="S80" s="162"/>
      <c r="T80" s="159"/>
      <c r="U80" s="159"/>
      <c r="V80" s="163"/>
      <c r="W80" s="164"/>
      <c r="X80" s="165"/>
      <c r="Y80" s="160"/>
      <c r="Z80" s="166"/>
      <c r="AA80" s="167"/>
      <c r="AB80" s="168"/>
    </row>
    <row r="81" spans="1:28">
      <c r="A81" s="155"/>
      <c r="B81" s="155"/>
      <c r="C81" s="155"/>
      <c r="D81" s="156"/>
      <c r="E81" s="158"/>
      <c r="F81" s="158"/>
      <c r="G81" s="158"/>
      <c r="H81" s="158"/>
      <c r="I81" s="158"/>
      <c r="J81" s="158"/>
      <c r="K81" s="158"/>
      <c r="L81" s="158"/>
      <c r="M81" s="159"/>
      <c r="N81" s="159"/>
      <c r="O81" s="160"/>
      <c r="P81" s="161"/>
      <c r="Q81" s="161"/>
      <c r="R81" s="162"/>
      <c r="S81" s="162"/>
      <c r="T81" s="159"/>
      <c r="U81" s="159"/>
      <c r="V81" s="163"/>
      <c r="W81" s="164"/>
      <c r="X81" s="165"/>
      <c r="Y81" s="160"/>
      <c r="Z81" s="166"/>
      <c r="AA81" s="167"/>
      <c r="AB81" s="168"/>
    </row>
    <row r="82" spans="1:28">
      <c r="A82" s="155"/>
      <c r="B82" s="155"/>
      <c r="C82" s="155"/>
      <c r="D82" s="156"/>
      <c r="E82" s="158"/>
      <c r="F82" s="158"/>
      <c r="G82" s="158"/>
      <c r="H82" s="158"/>
      <c r="I82" s="158"/>
      <c r="J82" s="158"/>
      <c r="K82" s="158"/>
      <c r="L82" s="158"/>
      <c r="M82" s="159"/>
      <c r="N82" s="159"/>
      <c r="O82" s="160"/>
      <c r="P82" s="161"/>
      <c r="Q82" s="161"/>
      <c r="R82" s="162"/>
      <c r="S82" s="162"/>
      <c r="T82" s="159"/>
      <c r="U82" s="159"/>
      <c r="V82" s="163"/>
      <c r="W82" s="164"/>
      <c r="X82" s="165"/>
      <c r="Y82" s="160"/>
      <c r="Z82" s="166"/>
      <c r="AA82" s="167"/>
      <c r="AB82" s="168"/>
    </row>
    <row r="83" spans="1:28">
      <c r="A83" s="155"/>
      <c r="B83" s="155"/>
      <c r="C83" s="155"/>
      <c r="D83" s="156"/>
      <c r="E83" s="158"/>
      <c r="F83" s="158"/>
      <c r="G83" s="158"/>
      <c r="H83" s="158"/>
      <c r="I83" s="158"/>
      <c r="J83" s="158"/>
      <c r="K83" s="158"/>
      <c r="L83" s="158"/>
      <c r="M83" s="159"/>
      <c r="N83" s="159"/>
      <c r="O83" s="160"/>
      <c r="P83" s="161"/>
      <c r="Q83" s="161"/>
      <c r="R83" s="162"/>
      <c r="S83" s="162"/>
      <c r="T83" s="159"/>
      <c r="U83" s="159"/>
      <c r="V83" s="163"/>
      <c r="W83" s="164"/>
      <c r="X83" s="165"/>
      <c r="Y83" s="160"/>
      <c r="Z83" s="166"/>
      <c r="AA83" s="167"/>
      <c r="AB83" s="168"/>
    </row>
    <row r="84" spans="1:28">
      <c r="A84" s="155"/>
      <c r="B84" s="155"/>
      <c r="C84" s="155"/>
      <c r="D84" s="156"/>
      <c r="E84" s="158"/>
      <c r="F84" s="158"/>
      <c r="G84" s="158"/>
      <c r="H84" s="158"/>
      <c r="I84" s="158"/>
      <c r="J84" s="158"/>
      <c r="K84" s="158"/>
      <c r="L84" s="158"/>
      <c r="M84" s="159"/>
      <c r="N84" s="159"/>
      <c r="O84" s="160"/>
      <c r="P84" s="161"/>
      <c r="Q84" s="161"/>
      <c r="R84" s="162"/>
      <c r="S84" s="162"/>
      <c r="T84" s="159"/>
      <c r="U84" s="159"/>
      <c r="V84" s="163"/>
      <c r="W84" s="164"/>
      <c r="X84" s="165"/>
      <c r="Y84" s="160"/>
      <c r="Z84" s="166"/>
      <c r="AA84" s="167"/>
      <c r="AB84" s="168"/>
    </row>
    <row r="85" spans="1:28">
      <c r="A85" s="155"/>
      <c r="B85" s="155"/>
      <c r="C85" s="155"/>
      <c r="D85" s="189"/>
      <c r="E85" s="158"/>
      <c r="F85" s="158"/>
      <c r="G85" s="158"/>
      <c r="H85" s="158"/>
      <c r="I85" s="158"/>
      <c r="J85" s="158"/>
      <c r="K85" s="158"/>
      <c r="L85" s="158"/>
      <c r="M85" s="159"/>
      <c r="N85" s="159"/>
      <c r="O85" s="160"/>
      <c r="P85" s="161"/>
      <c r="Q85" s="161"/>
      <c r="R85" s="162"/>
      <c r="S85" s="162"/>
      <c r="T85" s="159"/>
      <c r="U85" s="159"/>
      <c r="V85" s="163"/>
      <c r="W85" s="164"/>
      <c r="X85" s="165"/>
      <c r="Y85" s="160"/>
      <c r="Z85" s="166"/>
      <c r="AA85" s="167"/>
      <c r="AB85" s="168"/>
    </row>
    <row r="86" spans="1:28">
      <c r="A86" s="155"/>
      <c r="B86" s="155"/>
      <c r="C86" s="155"/>
      <c r="D86" s="156"/>
      <c r="E86" s="158"/>
      <c r="F86" s="158"/>
      <c r="G86" s="158"/>
      <c r="H86" s="158"/>
      <c r="I86" s="158"/>
      <c r="J86" s="158"/>
      <c r="K86" s="158"/>
      <c r="L86" s="158"/>
      <c r="M86" s="159"/>
      <c r="N86" s="159"/>
      <c r="O86" s="160"/>
      <c r="P86" s="161"/>
      <c r="Q86" s="161"/>
      <c r="R86" s="162"/>
      <c r="S86" s="162"/>
      <c r="T86" s="159"/>
      <c r="U86" s="159"/>
      <c r="V86" s="163"/>
      <c r="W86" s="164"/>
      <c r="X86" s="165"/>
      <c r="Y86" s="160"/>
      <c r="Z86" s="166"/>
      <c r="AA86" s="167"/>
      <c r="AB86" s="168"/>
    </row>
    <row r="87" spans="1:28">
      <c r="A87" s="155"/>
      <c r="B87" s="155"/>
      <c r="C87" s="155"/>
      <c r="D87" s="156"/>
      <c r="E87" s="158"/>
      <c r="F87" s="158"/>
      <c r="G87" s="158"/>
      <c r="H87" s="158"/>
      <c r="I87" s="158"/>
      <c r="J87" s="158"/>
      <c r="K87" s="158"/>
      <c r="L87" s="158"/>
      <c r="M87" s="159"/>
      <c r="N87" s="159"/>
      <c r="O87" s="160"/>
      <c r="P87" s="161"/>
      <c r="Q87" s="161"/>
      <c r="R87" s="162"/>
      <c r="S87" s="162"/>
      <c r="T87" s="159"/>
      <c r="U87" s="159"/>
      <c r="V87" s="163"/>
      <c r="W87" s="164"/>
      <c r="X87" s="165"/>
      <c r="Y87" s="160"/>
      <c r="Z87" s="166"/>
      <c r="AA87" s="167"/>
      <c r="AB87" s="168"/>
    </row>
    <row r="88" spans="1:28">
      <c r="A88" s="155"/>
      <c r="B88" s="155"/>
      <c r="C88" s="155"/>
      <c r="D88" s="156"/>
      <c r="E88" s="158"/>
      <c r="F88" s="158"/>
      <c r="G88" s="158"/>
      <c r="H88" s="158"/>
      <c r="I88" s="158"/>
      <c r="J88" s="158"/>
      <c r="K88" s="158"/>
      <c r="L88" s="158"/>
      <c r="M88" s="159"/>
      <c r="N88" s="159"/>
      <c r="O88" s="160"/>
      <c r="P88" s="161"/>
      <c r="Q88" s="161"/>
      <c r="R88" s="162"/>
      <c r="S88" s="162"/>
      <c r="T88" s="159"/>
      <c r="U88" s="159"/>
      <c r="V88" s="163"/>
      <c r="W88" s="164"/>
      <c r="X88" s="165"/>
      <c r="Y88" s="160"/>
      <c r="Z88" s="166"/>
      <c r="AA88" s="167"/>
      <c r="AB88" s="168"/>
    </row>
    <row r="89" spans="1:28">
      <c r="A89" s="155"/>
      <c r="B89" s="155"/>
      <c r="C89" s="155"/>
      <c r="D89" s="156"/>
      <c r="E89" s="158"/>
      <c r="F89" s="158"/>
      <c r="G89" s="158"/>
      <c r="H89" s="158"/>
      <c r="I89" s="158"/>
      <c r="J89" s="158"/>
      <c r="K89" s="158"/>
      <c r="L89" s="158"/>
      <c r="M89" s="159"/>
      <c r="N89" s="159"/>
      <c r="O89" s="160"/>
      <c r="P89" s="161"/>
      <c r="Q89" s="161"/>
      <c r="R89" s="162"/>
      <c r="S89" s="162"/>
      <c r="T89" s="159"/>
      <c r="U89" s="159"/>
      <c r="V89" s="163"/>
      <c r="W89" s="164"/>
      <c r="X89" s="165"/>
      <c r="Y89" s="160"/>
      <c r="Z89" s="166"/>
      <c r="AA89" s="167"/>
      <c r="AB89" s="168"/>
    </row>
    <row r="90" spans="1:28">
      <c r="A90" s="155"/>
      <c r="B90" s="155"/>
      <c r="C90" s="155"/>
      <c r="D90" s="156"/>
      <c r="E90" s="158"/>
      <c r="F90" s="158"/>
      <c r="G90" s="158"/>
      <c r="H90" s="158"/>
      <c r="I90" s="158"/>
      <c r="J90" s="158"/>
      <c r="K90" s="158"/>
      <c r="L90" s="158"/>
      <c r="M90" s="159"/>
      <c r="N90" s="159"/>
      <c r="O90" s="160"/>
      <c r="P90" s="161"/>
      <c r="Q90" s="161"/>
      <c r="R90" s="162"/>
      <c r="S90" s="162"/>
      <c r="T90" s="159"/>
      <c r="U90" s="159"/>
      <c r="V90" s="163"/>
      <c r="W90" s="164"/>
      <c r="X90" s="165"/>
      <c r="Y90" s="160"/>
      <c r="Z90" s="166"/>
      <c r="AA90" s="167"/>
      <c r="AB90" s="168"/>
    </row>
    <row r="91" spans="1:28">
      <c r="A91" s="155"/>
      <c r="B91" s="155"/>
      <c r="C91" s="155"/>
      <c r="D91" s="156"/>
      <c r="E91" s="158"/>
      <c r="F91" s="158"/>
      <c r="G91" s="158"/>
      <c r="H91" s="158"/>
      <c r="I91" s="158"/>
      <c r="J91" s="158"/>
      <c r="K91" s="158"/>
      <c r="L91" s="158"/>
      <c r="M91" s="159"/>
      <c r="N91" s="159"/>
      <c r="O91" s="160"/>
      <c r="P91" s="161"/>
      <c r="Q91" s="161"/>
      <c r="R91" s="162"/>
      <c r="S91" s="162"/>
      <c r="T91" s="159"/>
      <c r="U91" s="159"/>
      <c r="V91" s="163"/>
      <c r="W91" s="164"/>
      <c r="X91" s="165"/>
      <c r="Y91" s="160"/>
      <c r="Z91" s="166"/>
      <c r="AA91" s="167"/>
      <c r="AB91" s="168"/>
    </row>
    <row r="92" spans="1:28">
      <c r="A92" s="155"/>
      <c r="B92" s="155"/>
      <c r="C92" s="155"/>
      <c r="D92" s="156"/>
      <c r="E92" s="158"/>
      <c r="F92" s="158"/>
      <c r="G92" s="158"/>
      <c r="H92" s="158"/>
      <c r="I92" s="158"/>
      <c r="J92" s="158"/>
      <c r="K92" s="158"/>
      <c r="L92" s="158"/>
      <c r="M92" s="159"/>
      <c r="N92" s="159"/>
      <c r="O92" s="160"/>
      <c r="P92" s="161"/>
      <c r="Q92" s="161"/>
      <c r="R92" s="162"/>
      <c r="S92" s="162"/>
      <c r="T92" s="159"/>
      <c r="U92" s="159"/>
      <c r="V92" s="163"/>
      <c r="W92" s="164"/>
      <c r="X92" s="165"/>
      <c r="Y92" s="160"/>
      <c r="Z92" s="166"/>
      <c r="AA92" s="167"/>
      <c r="AB92" s="168"/>
    </row>
    <row r="93" spans="1:28">
      <c r="A93" s="155"/>
      <c r="B93" s="155"/>
      <c r="C93" s="155"/>
      <c r="D93" s="156"/>
      <c r="E93" s="158"/>
      <c r="F93" s="158"/>
      <c r="G93" s="158"/>
      <c r="H93" s="158"/>
      <c r="I93" s="158"/>
      <c r="J93" s="158"/>
      <c r="K93" s="158"/>
      <c r="L93" s="158"/>
      <c r="M93" s="159"/>
      <c r="N93" s="159"/>
      <c r="O93" s="160"/>
      <c r="P93" s="161"/>
      <c r="Q93" s="161"/>
      <c r="R93" s="162"/>
      <c r="S93" s="162"/>
      <c r="T93" s="159"/>
      <c r="U93" s="159"/>
      <c r="V93" s="163"/>
      <c r="W93" s="164"/>
      <c r="X93" s="165"/>
      <c r="Y93" s="160"/>
      <c r="Z93" s="166"/>
      <c r="AA93" s="167"/>
      <c r="AB93" s="168"/>
    </row>
    <row r="94" spans="1:28">
      <c r="A94" s="155"/>
      <c r="B94" s="155"/>
      <c r="C94" s="155"/>
      <c r="D94" s="156"/>
      <c r="E94" s="158"/>
      <c r="F94" s="158"/>
      <c r="G94" s="158"/>
      <c r="H94" s="158"/>
      <c r="I94" s="158"/>
      <c r="J94" s="158"/>
      <c r="K94" s="158"/>
      <c r="L94" s="158"/>
      <c r="M94" s="159"/>
      <c r="N94" s="159"/>
      <c r="O94" s="160"/>
      <c r="P94" s="161"/>
      <c r="Q94" s="161"/>
      <c r="R94" s="162"/>
      <c r="S94" s="162"/>
      <c r="T94" s="159"/>
      <c r="U94" s="159"/>
      <c r="V94" s="163"/>
      <c r="W94" s="164"/>
      <c r="X94" s="165"/>
      <c r="Y94" s="160"/>
      <c r="Z94" s="166"/>
      <c r="AA94" s="167"/>
      <c r="AB94" s="168"/>
    </row>
    <row r="95" spans="1:28">
      <c r="A95" s="155"/>
      <c r="B95" s="155"/>
      <c r="C95" s="155"/>
      <c r="D95" s="156"/>
      <c r="E95" s="158"/>
      <c r="F95" s="158"/>
      <c r="G95" s="158"/>
      <c r="H95" s="158"/>
      <c r="I95" s="158"/>
      <c r="J95" s="158"/>
      <c r="K95" s="158"/>
      <c r="L95" s="158"/>
      <c r="M95" s="159"/>
      <c r="N95" s="159"/>
      <c r="O95" s="160"/>
      <c r="P95" s="161"/>
      <c r="Q95" s="161"/>
      <c r="R95" s="162"/>
      <c r="S95" s="162"/>
      <c r="T95" s="159"/>
      <c r="U95" s="159"/>
      <c r="V95" s="163"/>
      <c r="W95" s="164"/>
      <c r="X95" s="165"/>
      <c r="Y95" s="160"/>
      <c r="Z95" s="166"/>
      <c r="AA95" s="167"/>
      <c r="AB95" s="168"/>
    </row>
    <row r="96" spans="1:28">
      <c r="A96" s="155"/>
      <c r="B96" s="155"/>
      <c r="C96" s="155"/>
      <c r="D96" s="156"/>
      <c r="E96" s="158"/>
      <c r="F96" s="158"/>
      <c r="G96" s="158"/>
      <c r="H96" s="158"/>
      <c r="I96" s="158"/>
      <c r="J96" s="158"/>
      <c r="K96" s="158"/>
      <c r="L96" s="158"/>
      <c r="M96" s="159"/>
      <c r="N96" s="159"/>
      <c r="O96" s="160"/>
      <c r="P96" s="161"/>
      <c r="Q96" s="161"/>
      <c r="R96" s="162"/>
      <c r="S96" s="162"/>
      <c r="T96" s="159"/>
      <c r="U96" s="159"/>
      <c r="V96" s="163"/>
      <c r="W96" s="164"/>
      <c r="X96" s="165"/>
      <c r="Y96" s="160"/>
      <c r="Z96" s="166"/>
      <c r="AA96" s="167"/>
      <c r="AB96" s="168"/>
    </row>
    <row r="97" spans="1:28">
      <c r="A97" s="155"/>
      <c r="B97" s="155"/>
      <c r="C97" s="155"/>
      <c r="D97" s="156"/>
      <c r="E97" s="158"/>
      <c r="F97" s="158"/>
      <c r="G97" s="158"/>
      <c r="H97" s="158"/>
      <c r="I97" s="158"/>
      <c r="J97" s="158"/>
      <c r="K97" s="158"/>
      <c r="L97" s="158"/>
      <c r="M97" s="159"/>
      <c r="N97" s="159"/>
      <c r="O97" s="160"/>
      <c r="P97" s="161"/>
      <c r="Q97" s="161"/>
      <c r="R97" s="162"/>
      <c r="S97" s="162"/>
      <c r="T97" s="159"/>
      <c r="U97" s="159"/>
      <c r="V97" s="163"/>
      <c r="W97" s="164"/>
      <c r="X97" s="165"/>
      <c r="Y97" s="160"/>
      <c r="Z97" s="166"/>
      <c r="AA97" s="167"/>
      <c r="AB97" s="168"/>
    </row>
    <row r="98" spans="1:28">
      <c r="A98" s="155"/>
      <c r="B98" s="155"/>
      <c r="C98" s="155"/>
      <c r="D98" s="156"/>
      <c r="E98" s="158"/>
      <c r="F98" s="158"/>
      <c r="G98" s="158"/>
      <c r="H98" s="158"/>
      <c r="I98" s="158"/>
      <c r="J98" s="158"/>
      <c r="K98" s="158"/>
      <c r="L98" s="158"/>
      <c r="M98" s="159"/>
      <c r="N98" s="159"/>
      <c r="O98" s="160"/>
      <c r="P98" s="161"/>
      <c r="Q98" s="161"/>
      <c r="R98" s="162"/>
      <c r="S98" s="162"/>
      <c r="T98" s="159"/>
      <c r="U98" s="159"/>
      <c r="V98" s="163"/>
      <c r="W98" s="164"/>
      <c r="X98" s="165"/>
      <c r="Y98" s="160"/>
      <c r="Z98" s="166"/>
      <c r="AA98" s="167"/>
      <c r="AB98" s="168"/>
    </row>
    <row r="99" spans="1:28">
      <c r="A99" s="155"/>
      <c r="B99" s="155"/>
      <c r="C99" s="155"/>
      <c r="D99" s="156"/>
      <c r="E99" s="158"/>
      <c r="F99" s="158"/>
      <c r="G99" s="158"/>
      <c r="H99" s="158"/>
      <c r="I99" s="158"/>
      <c r="J99" s="158"/>
      <c r="K99" s="158"/>
      <c r="L99" s="158"/>
      <c r="M99" s="159"/>
      <c r="N99" s="159"/>
      <c r="O99" s="160"/>
      <c r="P99" s="161"/>
      <c r="Q99" s="161"/>
      <c r="R99" s="162"/>
      <c r="S99" s="162"/>
      <c r="T99" s="159"/>
      <c r="U99" s="159"/>
      <c r="V99" s="163"/>
      <c r="W99" s="164"/>
      <c r="X99" s="165"/>
      <c r="Y99" s="160"/>
      <c r="Z99" s="166"/>
      <c r="AA99" s="167"/>
      <c r="AB99" s="168"/>
    </row>
    <row r="100" spans="1:28">
      <c r="A100" s="155"/>
      <c r="B100" s="155"/>
      <c r="C100" s="155"/>
      <c r="D100" s="156"/>
      <c r="E100" s="158"/>
      <c r="F100" s="158"/>
      <c r="G100" s="158"/>
      <c r="H100" s="158"/>
      <c r="I100" s="158"/>
      <c r="J100" s="158"/>
      <c r="K100" s="158"/>
      <c r="L100" s="158"/>
      <c r="M100" s="159"/>
      <c r="N100" s="159"/>
      <c r="O100" s="160"/>
      <c r="P100" s="161"/>
      <c r="Q100" s="161"/>
      <c r="R100" s="162"/>
      <c r="S100" s="162"/>
      <c r="T100" s="159"/>
      <c r="U100" s="159"/>
      <c r="V100" s="163"/>
      <c r="W100" s="164"/>
      <c r="X100" s="165"/>
      <c r="Y100" s="160"/>
      <c r="Z100" s="166"/>
      <c r="AA100" s="167"/>
      <c r="AB100" s="168"/>
    </row>
    <row r="101" spans="1:28">
      <c r="A101" s="155"/>
      <c r="B101" s="155"/>
      <c r="C101" s="155"/>
      <c r="D101" s="156"/>
      <c r="E101" s="158"/>
      <c r="F101" s="158"/>
      <c r="G101" s="158"/>
      <c r="H101" s="158"/>
      <c r="I101" s="158"/>
      <c r="J101" s="158"/>
      <c r="K101" s="158"/>
      <c r="L101" s="158"/>
      <c r="M101" s="159"/>
      <c r="N101" s="159"/>
      <c r="O101" s="160"/>
      <c r="P101" s="161"/>
      <c r="Q101" s="161"/>
      <c r="R101" s="162"/>
      <c r="S101" s="162"/>
      <c r="T101" s="159"/>
      <c r="U101" s="159"/>
      <c r="V101" s="163"/>
      <c r="W101" s="164"/>
      <c r="X101" s="165"/>
      <c r="Y101" s="160"/>
      <c r="Z101" s="166"/>
      <c r="AA101" s="167"/>
      <c r="AB101" s="168"/>
    </row>
    <row r="102" spans="1:28">
      <c r="A102" s="155"/>
      <c r="B102" s="155"/>
      <c r="C102" s="155"/>
      <c r="D102" s="156"/>
      <c r="E102" s="158"/>
      <c r="F102" s="158"/>
      <c r="G102" s="158"/>
      <c r="H102" s="158"/>
      <c r="I102" s="158"/>
      <c r="J102" s="158"/>
      <c r="K102" s="158"/>
      <c r="L102" s="158"/>
      <c r="M102" s="159"/>
      <c r="N102" s="159"/>
      <c r="O102" s="160"/>
      <c r="P102" s="161"/>
      <c r="Q102" s="161"/>
      <c r="R102" s="162"/>
      <c r="S102" s="162"/>
      <c r="T102" s="159"/>
      <c r="U102" s="159"/>
      <c r="V102" s="163"/>
      <c r="W102" s="164"/>
      <c r="X102" s="165"/>
      <c r="Y102" s="160"/>
      <c r="Z102" s="166"/>
      <c r="AA102" s="167"/>
      <c r="AB102" s="168"/>
    </row>
    <row r="103" spans="1:28">
      <c r="A103" s="155"/>
      <c r="B103" s="155"/>
      <c r="C103" s="155"/>
      <c r="D103" s="156"/>
      <c r="E103" s="158"/>
      <c r="F103" s="158"/>
      <c r="G103" s="158"/>
      <c r="H103" s="158"/>
      <c r="I103" s="158"/>
      <c r="J103" s="158"/>
      <c r="K103" s="158"/>
      <c r="L103" s="158"/>
      <c r="M103" s="159"/>
      <c r="N103" s="159"/>
      <c r="O103" s="160"/>
      <c r="P103" s="161"/>
      <c r="Q103" s="161"/>
      <c r="R103" s="162"/>
      <c r="S103" s="162"/>
      <c r="T103" s="159"/>
      <c r="U103" s="159"/>
      <c r="V103" s="163"/>
      <c r="W103" s="164"/>
      <c r="X103" s="165"/>
      <c r="Y103" s="160"/>
      <c r="Z103" s="166"/>
      <c r="AA103" s="167"/>
      <c r="AB103" s="168"/>
    </row>
    <row r="104" spans="1:28">
      <c r="A104" s="155"/>
      <c r="B104" s="155"/>
      <c r="C104" s="155"/>
      <c r="D104" s="156"/>
      <c r="E104" s="158"/>
      <c r="F104" s="158"/>
      <c r="G104" s="158"/>
      <c r="H104" s="158"/>
      <c r="I104" s="158"/>
      <c r="J104" s="158"/>
      <c r="K104" s="158"/>
      <c r="L104" s="158"/>
      <c r="M104" s="159"/>
      <c r="N104" s="159"/>
      <c r="O104" s="160"/>
      <c r="P104" s="161"/>
      <c r="Q104" s="161"/>
      <c r="R104" s="162"/>
      <c r="S104" s="162"/>
      <c r="T104" s="159"/>
      <c r="U104" s="159"/>
      <c r="V104" s="163"/>
      <c r="W104" s="164"/>
      <c r="X104" s="165"/>
      <c r="Y104" s="160"/>
      <c r="Z104" s="166"/>
      <c r="AA104" s="167"/>
      <c r="AB104" s="168"/>
    </row>
    <row r="105" spans="1:28">
      <c r="A105" s="155"/>
      <c r="B105" s="155"/>
      <c r="C105" s="155"/>
      <c r="D105" s="156"/>
      <c r="E105" s="158"/>
      <c r="F105" s="158"/>
      <c r="G105" s="158"/>
      <c r="H105" s="158"/>
      <c r="I105" s="158"/>
      <c r="J105" s="158"/>
      <c r="K105" s="158"/>
      <c r="L105" s="158"/>
      <c r="M105" s="159"/>
      <c r="N105" s="159"/>
      <c r="O105" s="160"/>
      <c r="P105" s="161"/>
      <c r="Q105" s="161"/>
      <c r="R105" s="162"/>
      <c r="S105" s="162"/>
      <c r="T105" s="159"/>
      <c r="U105" s="159"/>
      <c r="V105" s="163"/>
      <c r="W105" s="164"/>
      <c r="X105" s="165"/>
      <c r="Y105" s="160"/>
      <c r="Z105" s="166"/>
      <c r="AA105" s="167"/>
      <c r="AB105" s="168"/>
    </row>
    <row r="106" spans="1:28">
      <c r="A106" s="155"/>
      <c r="B106" s="155"/>
      <c r="C106" s="155"/>
      <c r="D106" s="156"/>
      <c r="E106" s="158"/>
      <c r="F106" s="158"/>
      <c r="G106" s="158"/>
      <c r="H106" s="158"/>
      <c r="I106" s="158"/>
      <c r="J106" s="158"/>
      <c r="K106" s="158"/>
      <c r="L106" s="158"/>
      <c r="M106" s="159"/>
      <c r="N106" s="159"/>
      <c r="O106" s="160"/>
      <c r="P106" s="161"/>
      <c r="Q106" s="161"/>
      <c r="R106" s="162"/>
      <c r="S106" s="162"/>
      <c r="T106" s="159"/>
      <c r="U106" s="159"/>
      <c r="V106" s="163"/>
      <c r="W106" s="164"/>
      <c r="X106" s="165"/>
      <c r="Y106" s="160"/>
      <c r="Z106" s="166"/>
      <c r="AA106" s="167"/>
      <c r="AB106" s="168"/>
    </row>
    <row r="107" spans="1:28">
      <c r="A107" s="155"/>
      <c r="B107" s="155"/>
      <c r="C107" s="155"/>
      <c r="D107" s="156"/>
      <c r="E107" s="158"/>
      <c r="F107" s="158"/>
      <c r="G107" s="158"/>
      <c r="H107" s="158"/>
      <c r="I107" s="158"/>
      <c r="J107" s="158"/>
      <c r="K107" s="158"/>
      <c r="L107" s="158"/>
      <c r="M107" s="159"/>
      <c r="N107" s="159"/>
      <c r="O107" s="160"/>
      <c r="P107" s="161"/>
      <c r="Q107" s="161"/>
      <c r="R107" s="162"/>
      <c r="S107" s="162"/>
      <c r="T107" s="159"/>
      <c r="U107" s="159"/>
      <c r="V107" s="163"/>
      <c r="W107" s="164"/>
      <c r="X107" s="165"/>
      <c r="Y107" s="160"/>
      <c r="Z107" s="166"/>
      <c r="AA107" s="167"/>
      <c r="AB107" s="168"/>
    </row>
    <row r="108" spans="1:28">
      <c r="A108" s="155"/>
      <c r="B108" s="155"/>
      <c r="C108" s="155"/>
      <c r="D108" s="156"/>
      <c r="E108" s="158"/>
      <c r="F108" s="158"/>
      <c r="G108" s="158"/>
      <c r="H108" s="158"/>
      <c r="I108" s="158"/>
      <c r="J108" s="158"/>
      <c r="K108" s="158"/>
      <c r="L108" s="158"/>
      <c r="M108" s="159"/>
      <c r="N108" s="159"/>
      <c r="O108" s="160"/>
      <c r="P108" s="161"/>
      <c r="Q108" s="161"/>
      <c r="R108" s="162"/>
      <c r="S108" s="162"/>
      <c r="T108" s="159"/>
      <c r="U108" s="159"/>
      <c r="V108" s="163"/>
      <c r="W108" s="164"/>
      <c r="X108" s="165"/>
      <c r="Y108" s="160"/>
      <c r="Z108" s="166"/>
      <c r="AA108" s="167"/>
      <c r="AB108" s="168"/>
    </row>
    <row r="109" spans="1:28">
      <c r="A109" s="155"/>
      <c r="B109" s="155"/>
      <c r="C109" s="155"/>
      <c r="D109" s="156"/>
      <c r="E109" s="158"/>
      <c r="F109" s="158"/>
      <c r="G109" s="158"/>
      <c r="H109" s="158"/>
      <c r="I109" s="158"/>
      <c r="J109" s="158"/>
      <c r="K109" s="158"/>
      <c r="L109" s="158"/>
      <c r="M109" s="159"/>
      <c r="N109" s="159"/>
      <c r="O109" s="160"/>
      <c r="P109" s="161"/>
      <c r="Q109" s="161"/>
      <c r="R109" s="162"/>
      <c r="S109" s="162"/>
      <c r="T109" s="159"/>
      <c r="U109" s="159"/>
      <c r="V109" s="163"/>
      <c r="W109" s="164"/>
      <c r="X109" s="165"/>
      <c r="Y109" s="160"/>
      <c r="Z109" s="166"/>
      <c r="AA109" s="167"/>
      <c r="AB109" s="168"/>
    </row>
    <row r="110" spans="1:28">
      <c r="A110" s="155"/>
      <c r="B110" s="155"/>
      <c r="C110" s="155"/>
      <c r="D110" s="156"/>
      <c r="E110" s="158"/>
      <c r="F110" s="158"/>
      <c r="G110" s="158"/>
      <c r="H110" s="158"/>
      <c r="I110" s="158"/>
      <c r="J110" s="158"/>
      <c r="K110" s="158"/>
      <c r="L110" s="158"/>
      <c r="M110" s="159"/>
      <c r="N110" s="159"/>
      <c r="O110" s="160"/>
      <c r="P110" s="161"/>
      <c r="Q110" s="161"/>
      <c r="R110" s="162"/>
      <c r="S110" s="162"/>
      <c r="T110" s="159"/>
      <c r="U110" s="159"/>
      <c r="V110" s="163"/>
      <c r="W110" s="164"/>
      <c r="X110" s="165"/>
      <c r="Y110" s="160"/>
      <c r="Z110" s="166"/>
      <c r="AA110" s="167"/>
      <c r="AB110" s="168"/>
    </row>
    <row r="111" spans="1:28">
      <c r="A111" s="155"/>
      <c r="B111" s="155"/>
      <c r="C111" s="155"/>
      <c r="D111" s="156"/>
      <c r="E111" s="158"/>
      <c r="F111" s="158"/>
      <c r="G111" s="158"/>
      <c r="H111" s="158"/>
      <c r="I111" s="158"/>
      <c r="J111" s="158"/>
      <c r="K111" s="158"/>
      <c r="L111" s="158"/>
      <c r="M111" s="159"/>
      <c r="N111" s="159"/>
      <c r="O111" s="160"/>
      <c r="P111" s="161"/>
      <c r="Q111" s="161"/>
      <c r="R111" s="162"/>
      <c r="S111" s="162"/>
      <c r="T111" s="159"/>
      <c r="U111" s="159"/>
      <c r="V111" s="163"/>
      <c r="W111" s="164"/>
      <c r="X111" s="165"/>
      <c r="Y111" s="160"/>
      <c r="Z111" s="166"/>
      <c r="AA111" s="167"/>
      <c r="AB111" s="168"/>
    </row>
    <row r="112" spans="1:28">
      <c r="A112" s="155"/>
      <c r="B112" s="155"/>
      <c r="C112" s="155"/>
      <c r="D112" s="156"/>
      <c r="E112" s="158"/>
      <c r="F112" s="158"/>
      <c r="G112" s="158"/>
      <c r="H112" s="158"/>
      <c r="I112" s="158"/>
      <c r="J112" s="158"/>
      <c r="K112" s="158"/>
      <c r="L112" s="158"/>
      <c r="M112" s="159"/>
      <c r="N112" s="159"/>
      <c r="O112" s="160"/>
      <c r="P112" s="161"/>
      <c r="Q112" s="161"/>
      <c r="R112" s="162"/>
      <c r="S112" s="162"/>
      <c r="T112" s="159"/>
      <c r="U112" s="159"/>
      <c r="V112" s="163"/>
      <c r="W112" s="164"/>
      <c r="X112" s="165"/>
      <c r="Y112" s="160"/>
      <c r="Z112" s="166"/>
      <c r="AA112" s="167"/>
      <c r="AB112" s="168"/>
    </row>
    <row r="113" spans="1:28">
      <c r="A113" s="155"/>
      <c r="B113" s="155"/>
      <c r="C113" s="155"/>
      <c r="D113" s="156"/>
      <c r="E113" s="158"/>
      <c r="F113" s="158"/>
      <c r="G113" s="158"/>
      <c r="H113" s="158"/>
      <c r="I113" s="158"/>
      <c r="J113" s="158"/>
      <c r="K113" s="158"/>
      <c r="L113" s="158"/>
      <c r="M113" s="159"/>
      <c r="N113" s="159"/>
      <c r="O113" s="160"/>
      <c r="P113" s="161"/>
      <c r="Q113" s="161"/>
      <c r="R113" s="162"/>
      <c r="S113" s="162"/>
      <c r="T113" s="159"/>
      <c r="U113" s="159"/>
      <c r="V113" s="163"/>
      <c r="W113" s="164"/>
      <c r="X113" s="165"/>
      <c r="Y113" s="160"/>
      <c r="Z113" s="166"/>
      <c r="AA113" s="167"/>
      <c r="AB113" s="168"/>
    </row>
    <row r="114" spans="1:28">
      <c r="A114" s="155"/>
      <c r="B114" s="155"/>
      <c r="C114" s="155"/>
      <c r="D114" s="156"/>
      <c r="E114" s="158"/>
      <c r="F114" s="158"/>
      <c r="G114" s="158"/>
      <c r="H114" s="158"/>
      <c r="I114" s="158"/>
      <c r="J114" s="158"/>
      <c r="K114" s="158"/>
      <c r="L114" s="158"/>
      <c r="M114" s="159"/>
      <c r="N114" s="159"/>
      <c r="O114" s="160"/>
      <c r="P114" s="161"/>
      <c r="Q114" s="161"/>
      <c r="R114" s="162"/>
      <c r="S114" s="162"/>
      <c r="T114" s="159"/>
      <c r="U114" s="159"/>
      <c r="V114" s="163"/>
      <c r="W114" s="164"/>
      <c r="X114" s="165"/>
      <c r="Y114" s="160"/>
      <c r="Z114" s="166"/>
      <c r="AA114" s="167"/>
      <c r="AB114" s="168"/>
    </row>
    <row r="115" spans="1:28">
      <c r="A115" s="155"/>
      <c r="B115" s="155"/>
      <c r="C115" s="155"/>
      <c r="D115" s="156"/>
      <c r="E115" s="158"/>
      <c r="F115" s="158"/>
      <c r="G115" s="158"/>
      <c r="H115" s="158"/>
      <c r="I115" s="158"/>
      <c r="J115" s="158"/>
      <c r="K115" s="158"/>
      <c r="L115" s="158"/>
      <c r="M115" s="159"/>
      <c r="N115" s="159"/>
      <c r="O115" s="160"/>
      <c r="P115" s="161"/>
      <c r="Q115" s="161"/>
      <c r="R115" s="162"/>
      <c r="S115" s="162"/>
      <c r="T115" s="159"/>
      <c r="U115" s="159"/>
      <c r="V115" s="163"/>
      <c r="W115" s="164"/>
      <c r="X115" s="165"/>
      <c r="Y115" s="160"/>
      <c r="Z115" s="166"/>
      <c r="AA115" s="167"/>
      <c r="AB115" s="168"/>
    </row>
    <row r="116" spans="1:28">
      <c r="A116" s="155"/>
      <c r="B116" s="155"/>
      <c r="C116" s="155"/>
      <c r="D116" s="156"/>
      <c r="E116" s="158"/>
      <c r="F116" s="158"/>
      <c r="G116" s="158"/>
      <c r="H116" s="158"/>
      <c r="I116" s="158"/>
      <c r="J116" s="158"/>
      <c r="K116" s="158"/>
      <c r="L116" s="158"/>
      <c r="M116" s="159"/>
      <c r="N116" s="159"/>
      <c r="O116" s="160"/>
      <c r="P116" s="161"/>
      <c r="Q116" s="161"/>
      <c r="R116" s="162"/>
      <c r="S116" s="162"/>
      <c r="T116" s="159"/>
      <c r="U116" s="159"/>
      <c r="V116" s="163"/>
      <c r="W116" s="164"/>
      <c r="X116" s="165"/>
      <c r="Y116" s="160"/>
      <c r="Z116" s="166"/>
      <c r="AA116" s="167"/>
      <c r="AB116" s="168"/>
    </row>
    <row r="117" spans="1:28">
      <c r="A117" s="155"/>
      <c r="B117" s="155"/>
      <c r="C117" s="155"/>
      <c r="D117" s="156"/>
      <c r="E117" s="158"/>
      <c r="F117" s="158"/>
      <c r="G117" s="158"/>
      <c r="H117" s="158"/>
      <c r="I117" s="158"/>
      <c r="J117" s="158"/>
      <c r="K117" s="158"/>
      <c r="L117" s="158"/>
      <c r="M117" s="159"/>
      <c r="N117" s="159"/>
      <c r="O117" s="160"/>
      <c r="P117" s="161"/>
      <c r="Q117" s="161"/>
      <c r="R117" s="162"/>
      <c r="S117" s="162"/>
      <c r="T117" s="159"/>
      <c r="U117" s="159"/>
      <c r="V117" s="163"/>
      <c r="W117" s="164"/>
      <c r="X117" s="165"/>
      <c r="Y117" s="160"/>
      <c r="Z117" s="166"/>
      <c r="AA117" s="167"/>
      <c r="AB117" s="168"/>
    </row>
    <row r="118" spans="1:28">
      <c r="A118" s="155"/>
      <c r="B118" s="155"/>
      <c r="C118" s="155"/>
      <c r="D118" s="156"/>
      <c r="E118" s="158"/>
      <c r="F118" s="158"/>
      <c r="G118" s="158"/>
      <c r="H118" s="158"/>
      <c r="I118" s="158"/>
      <c r="J118" s="158"/>
      <c r="K118" s="158"/>
      <c r="L118" s="158"/>
      <c r="M118" s="159"/>
      <c r="N118" s="159"/>
      <c r="O118" s="160"/>
      <c r="P118" s="161"/>
      <c r="Q118" s="161"/>
      <c r="R118" s="162"/>
      <c r="S118" s="162"/>
      <c r="T118" s="159"/>
      <c r="U118" s="159"/>
      <c r="V118" s="163"/>
      <c r="W118" s="164"/>
      <c r="X118" s="165"/>
      <c r="Y118" s="160"/>
      <c r="Z118" s="166"/>
      <c r="AA118" s="167"/>
      <c r="AB118" s="168"/>
    </row>
    <row r="119" spans="1:28">
      <c r="A119" s="155"/>
      <c r="B119" s="155"/>
      <c r="C119" s="155"/>
      <c r="D119" s="156"/>
      <c r="E119" s="158"/>
      <c r="F119" s="158"/>
      <c r="G119" s="158"/>
      <c r="H119" s="158"/>
      <c r="I119" s="158"/>
      <c r="J119" s="158"/>
      <c r="K119" s="158"/>
      <c r="L119" s="158"/>
      <c r="M119" s="159"/>
      <c r="N119" s="159"/>
      <c r="O119" s="160"/>
      <c r="P119" s="161"/>
      <c r="Q119" s="161"/>
      <c r="R119" s="162"/>
      <c r="S119" s="162"/>
      <c r="T119" s="159"/>
      <c r="U119" s="159"/>
      <c r="V119" s="163"/>
      <c r="W119" s="164"/>
      <c r="X119" s="165"/>
      <c r="Y119" s="160"/>
      <c r="Z119" s="166"/>
      <c r="AA119" s="167"/>
      <c r="AB119" s="168"/>
    </row>
    <row r="120" spans="1:28">
      <c r="A120" s="155"/>
      <c r="B120" s="155"/>
      <c r="C120" s="155"/>
      <c r="D120" s="156"/>
      <c r="E120" s="158"/>
      <c r="F120" s="158"/>
      <c r="G120" s="158"/>
      <c r="H120" s="158"/>
      <c r="I120" s="158"/>
      <c r="J120" s="158"/>
      <c r="K120" s="158"/>
      <c r="L120" s="158"/>
      <c r="M120" s="159"/>
      <c r="N120" s="159"/>
      <c r="O120" s="160"/>
      <c r="P120" s="161"/>
      <c r="Q120" s="161"/>
      <c r="R120" s="162"/>
      <c r="S120" s="162"/>
      <c r="T120" s="159"/>
      <c r="U120" s="159"/>
      <c r="V120" s="163"/>
      <c r="W120" s="164"/>
      <c r="X120" s="165"/>
      <c r="Y120" s="160"/>
      <c r="Z120" s="166"/>
      <c r="AA120" s="167"/>
      <c r="AB120" s="168"/>
    </row>
    <row r="121" spans="1:28">
      <c r="A121" s="155"/>
      <c r="B121" s="155"/>
      <c r="C121" s="155"/>
      <c r="D121" s="156"/>
      <c r="E121" s="158"/>
      <c r="F121" s="158"/>
      <c r="G121" s="158"/>
      <c r="H121" s="158"/>
      <c r="I121" s="158"/>
      <c r="J121" s="158"/>
      <c r="K121" s="158"/>
      <c r="L121" s="158"/>
      <c r="M121" s="159"/>
      <c r="N121" s="159"/>
      <c r="O121" s="160"/>
      <c r="P121" s="161"/>
      <c r="Q121" s="161"/>
      <c r="R121" s="162"/>
      <c r="S121" s="162"/>
      <c r="T121" s="159"/>
      <c r="U121" s="159"/>
      <c r="V121" s="163"/>
      <c r="W121" s="164"/>
      <c r="X121" s="165"/>
      <c r="Y121" s="160"/>
      <c r="Z121" s="166"/>
      <c r="AA121" s="167"/>
      <c r="AB121" s="168"/>
    </row>
    <row r="122" spans="1:28">
      <c r="A122" s="155"/>
      <c r="B122" s="155"/>
      <c r="C122" s="155"/>
      <c r="D122" s="156"/>
      <c r="E122" s="158"/>
      <c r="F122" s="158"/>
      <c r="G122" s="158"/>
      <c r="H122" s="158"/>
      <c r="I122" s="158"/>
      <c r="J122" s="158"/>
      <c r="K122" s="158"/>
      <c r="L122" s="158"/>
      <c r="M122" s="159"/>
      <c r="N122" s="159"/>
      <c r="O122" s="160"/>
      <c r="P122" s="161"/>
      <c r="Q122" s="161"/>
      <c r="R122" s="162"/>
      <c r="S122" s="162"/>
      <c r="T122" s="159"/>
      <c r="U122" s="159"/>
      <c r="V122" s="163"/>
      <c r="W122" s="164"/>
      <c r="X122" s="165"/>
      <c r="Y122" s="160"/>
      <c r="Z122" s="166"/>
      <c r="AA122" s="167"/>
      <c r="AB122" s="168"/>
    </row>
    <row r="123" spans="1:28">
      <c r="A123" s="155"/>
      <c r="B123" s="155"/>
      <c r="C123" s="155"/>
      <c r="D123" s="156"/>
      <c r="E123" s="158"/>
      <c r="F123" s="158"/>
      <c r="G123" s="158"/>
      <c r="H123" s="158"/>
      <c r="I123" s="158"/>
      <c r="J123" s="158"/>
      <c r="K123" s="158"/>
      <c r="L123" s="158"/>
      <c r="M123" s="159"/>
      <c r="N123" s="159"/>
      <c r="O123" s="160"/>
      <c r="P123" s="161"/>
      <c r="Q123" s="161"/>
      <c r="R123" s="162"/>
      <c r="S123" s="162"/>
      <c r="T123" s="159"/>
      <c r="U123" s="159"/>
      <c r="V123" s="163"/>
      <c r="W123" s="164"/>
      <c r="X123" s="165"/>
      <c r="Y123" s="160"/>
      <c r="Z123" s="166"/>
      <c r="AA123" s="167"/>
      <c r="AB123" s="168"/>
    </row>
    <row r="124" spans="1:28">
      <c r="A124" s="155"/>
      <c r="B124" s="155"/>
      <c r="C124" s="155"/>
      <c r="D124" s="156"/>
      <c r="E124" s="158"/>
      <c r="F124" s="158"/>
      <c r="G124" s="158"/>
      <c r="H124" s="158"/>
      <c r="I124" s="158"/>
      <c r="J124" s="158"/>
      <c r="K124" s="158"/>
      <c r="L124" s="158"/>
      <c r="M124" s="159"/>
      <c r="N124" s="159"/>
      <c r="O124" s="160"/>
      <c r="P124" s="161"/>
      <c r="Q124" s="161"/>
      <c r="R124" s="162"/>
      <c r="S124" s="162"/>
      <c r="T124" s="159"/>
      <c r="U124" s="159"/>
      <c r="V124" s="163"/>
      <c r="W124" s="164"/>
      <c r="X124" s="165"/>
      <c r="Y124" s="160"/>
      <c r="Z124" s="166"/>
      <c r="AA124" s="167"/>
      <c r="AB124" s="168"/>
    </row>
    <row r="125" spans="1:28">
      <c r="A125" s="155"/>
      <c r="B125" s="155"/>
      <c r="C125" s="155"/>
      <c r="D125" s="156"/>
      <c r="E125" s="158"/>
      <c r="F125" s="158"/>
      <c r="G125" s="158"/>
      <c r="H125" s="158"/>
      <c r="I125" s="158"/>
      <c r="J125" s="158"/>
      <c r="K125" s="158"/>
      <c r="L125" s="158"/>
      <c r="M125" s="159"/>
      <c r="N125" s="159"/>
      <c r="O125" s="160"/>
      <c r="P125" s="161"/>
      <c r="Q125" s="161"/>
      <c r="R125" s="162"/>
      <c r="S125" s="162"/>
      <c r="T125" s="159"/>
      <c r="U125" s="159"/>
      <c r="V125" s="163"/>
      <c r="W125" s="164"/>
      <c r="X125" s="165"/>
      <c r="Y125" s="160"/>
      <c r="Z125" s="166"/>
      <c r="AA125" s="167"/>
      <c r="AB125" s="168"/>
    </row>
    <row r="126" spans="1:28">
      <c r="A126" s="190"/>
      <c r="B126" s="190"/>
      <c r="C126" s="190"/>
      <c r="D126" s="191"/>
      <c r="E126" s="192"/>
      <c r="F126" s="192"/>
      <c r="G126" s="192"/>
      <c r="H126" s="192"/>
      <c r="I126" s="192"/>
      <c r="J126" s="192"/>
      <c r="K126" s="192"/>
      <c r="L126" s="192"/>
      <c r="M126" s="193"/>
      <c r="N126" s="193"/>
      <c r="O126" s="194"/>
      <c r="P126" s="195"/>
      <c r="Q126" s="195"/>
      <c r="R126" s="196"/>
      <c r="S126" s="196"/>
      <c r="T126" s="193"/>
      <c r="U126" s="193"/>
      <c r="V126" s="197"/>
      <c r="W126" s="198"/>
      <c r="X126" s="199"/>
      <c r="Y126" s="194"/>
      <c r="Z126" s="200"/>
      <c r="AA126" s="201"/>
      <c r="AB126" s="202"/>
    </row>
  </sheetData>
  <sheetProtection formatCells="0" formatColumns="0" formatRows="0" insertColumns="0" insertRows="0" insertHyperlinks="0" deleteColumns="0" deleteRows="0" sort="0" autoFilter="0" pivotTables="0"/>
  <dataConsolidate/>
  <mergeCells count="28">
    <mergeCell ref="AB3:AB4"/>
    <mergeCell ref="T3:T4"/>
    <mergeCell ref="U3:U4"/>
    <mergeCell ref="V3:V4"/>
    <mergeCell ref="W3:W4"/>
    <mergeCell ref="X3:X4"/>
    <mergeCell ref="AA3:AA4"/>
    <mergeCell ref="M3:M4"/>
    <mergeCell ref="N3:N4"/>
    <mergeCell ref="Z3:Z4"/>
    <mergeCell ref="O3:O4"/>
    <mergeCell ref="P3:P4"/>
    <mergeCell ref="Q3:Q4"/>
    <mergeCell ref="R3:R4"/>
    <mergeCell ref="S3:S4"/>
    <mergeCell ref="Y3:Y4"/>
    <mergeCell ref="A3:A4"/>
    <mergeCell ref="B3:B4"/>
    <mergeCell ref="C3:C4"/>
    <mergeCell ref="D2:F2"/>
    <mergeCell ref="L3:L4"/>
    <mergeCell ref="D3:D4"/>
    <mergeCell ref="E3:K4"/>
    <mergeCell ref="AC1:CA1"/>
    <mergeCell ref="AC3:AI3"/>
    <mergeCell ref="AJ3:AP3"/>
    <mergeCell ref="AQ3:AW3"/>
    <mergeCell ref="AX3:BD3"/>
  </mergeCells>
  <phoneticPr fontId="6" type="noConversion"/>
  <conditionalFormatting sqref="AC5:BD49">
    <cfRule type="expression" dxfId="2" priority="3" stopIfTrue="1">
      <formula>COUNTIF(STD_CAL,AC$4)&gt;0</formula>
    </cfRule>
  </conditionalFormatting>
  <conditionalFormatting sqref="D5:AB49">
    <cfRule type="expression" dxfId="1" priority="2">
      <formula>($B5="G")</formula>
    </cfRule>
    <cfRule type="expression" dxfId="0" priority="1">
      <formula>($AB5=1)</formula>
    </cfRule>
  </conditionalFormatting>
  <hyperlinks>
    <hyperlink ref="AC1:CA1" r:id="rId1" display="http://xlworks.net/" xr:uid="{1FA60AC8-106E-4B14-8606-3B568007F2B9}"/>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1007</v>
      </c>
      <c r="B1" s="2"/>
      <c r="C1" s="2"/>
      <c r="D1" s="2"/>
      <c r="E1" s="2"/>
      <c r="F1" s="2"/>
      <c r="G1" s="2"/>
      <c r="H1" s="2"/>
      <c r="I1" s="2"/>
      <c r="J1" s="2"/>
      <c r="K1" s="2"/>
      <c r="L1" s="270"/>
      <c r="M1" s="271"/>
      <c r="N1" s="271"/>
      <c r="O1" s="3"/>
      <c r="P1" s="3"/>
      <c r="Q1" s="3"/>
    </row>
    <row r="2" spans="1:17" s="7" customFormat="1" ht="12.75">
      <c r="A2" s="5" t="s">
        <v>994</v>
      </c>
      <c r="B2" s="6"/>
    </row>
    <row r="3" spans="1:17" s="7" customFormat="1" ht="12.75">
      <c r="A3" s="5" t="s">
        <v>995</v>
      </c>
      <c r="B3" s="6"/>
    </row>
    <row r="4" spans="1:17" s="7" customFormat="1" ht="12.75">
      <c r="A4" s="272"/>
      <c r="B4" s="272"/>
      <c r="C4" s="8"/>
      <c r="D4" s="9"/>
      <c r="E4" s="9"/>
      <c r="F4" s="9"/>
    </row>
    <row r="5" spans="1:17" s="15" customFormat="1" ht="12.75">
      <c r="A5" s="10"/>
      <c r="B5" s="11"/>
      <c r="C5" s="12"/>
      <c r="D5" s="13"/>
      <c r="E5" s="14"/>
      <c r="F5" s="14"/>
      <c r="G5" s="14"/>
    </row>
    <row r="6" spans="1:17" s="15" customFormat="1" ht="12.75">
      <c r="A6" s="16" t="s">
        <v>996</v>
      </c>
      <c r="B6" s="17">
        <v>97</v>
      </c>
      <c r="C6" s="15" t="s">
        <v>0</v>
      </c>
      <c r="D6" s="269" t="s">
        <v>997</v>
      </c>
      <c r="E6" s="269"/>
      <c r="F6" s="269"/>
      <c r="G6" s="26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998</v>
      </c>
      <c r="B9" s="17">
        <v>97</v>
      </c>
      <c r="C9" s="15" t="s">
        <v>0</v>
      </c>
      <c r="D9" s="268" t="s">
        <v>999</v>
      </c>
      <c r="E9" s="268"/>
      <c r="F9" s="268"/>
      <c r="G9" s="26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993</v>
      </c>
      <c r="B12" s="17">
        <v>91</v>
      </c>
      <c r="C12" s="15" t="s">
        <v>0</v>
      </c>
      <c r="D12" s="268" t="s">
        <v>1049</v>
      </c>
      <c r="E12" s="268"/>
      <c r="F12" s="268"/>
      <c r="G12" s="26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993</v>
      </c>
      <c r="B15" s="17"/>
      <c r="C15" s="15" t="s">
        <v>0</v>
      </c>
      <c r="D15" s="268" t="s">
        <v>1000</v>
      </c>
      <c r="E15" s="268"/>
      <c r="F15" s="268"/>
      <c r="G15" s="26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1001</v>
      </c>
      <c r="B18" s="39">
        <v>1</v>
      </c>
      <c r="D18" s="268" t="s">
        <v>1002</v>
      </c>
      <c r="E18" s="268"/>
      <c r="F18" s="268"/>
      <c r="G18" s="26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1003</v>
      </c>
      <c r="B21" s="39">
        <v>0.93814432989690721</v>
      </c>
      <c r="D21" s="268" t="s">
        <v>1004</v>
      </c>
      <c r="E21" s="268"/>
      <c r="F21" s="268"/>
      <c r="G21" s="26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1005</v>
      </c>
      <c r="B24" s="49">
        <f>ACTUAL_RATE-PLANNED_RATE</f>
        <v>-6.1855670103092786E-2</v>
      </c>
      <c r="D24" s="269" t="s">
        <v>1006</v>
      </c>
      <c r="E24" s="269"/>
      <c r="F24" s="269"/>
      <c r="G24" s="26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L17"/>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25" customWidth="1"/>
    <col min="2" max="2" width="5.625" style="125" bestFit="1" customWidth="1"/>
    <col min="3" max="3" width="18.125" style="125" bestFit="1" customWidth="1"/>
    <col min="4" max="5" width="10.625" style="125" bestFit="1" customWidth="1"/>
    <col min="6" max="6" width="7.5" style="125" bestFit="1" customWidth="1"/>
    <col min="7" max="9" width="9.25" style="125" bestFit="1" customWidth="1"/>
    <col min="10" max="11" width="8.375" style="125" bestFit="1" customWidth="1"/>
    <col min="12" max="12" width="8.75" style="125" bestFit="1" customWidth="1"/>
    <col min="13" max="16384" width="9.125" style="125"/>
  </cols>
  <sheetData>
    <row r="1" spans="1:12" ht="36.950000000000003" customHeight="1">
      <c r="A1" s="62" t="s">
        <v>1065</v>
      </c>
    </row>
    <row r="2" spans="1:12">
      <c r="A2" s="125" t="s">
        <v>1066</v>
      </c>
    </row>
    <row r="3" spans="1:12">
      <c r="A3" s="125" t="s">
        <v>1067</v>
      </c>
    </row>
    <row r="6" spans="1:12" ht="45">
      <c r="A6" s="63" t="s">
        <v>1062</v>
      </c>
      <c r="B6" s="123" t="s">
        <v>352</v>
      </c>
      <c r="C6" s="123" t="s">
        <v>1068</v>
      </c>
      <c r="D6" s="123" t="s">
        <v>1008</v>
      </c>
      <c r="E6" s="123" t="s">
        <v>1009</v>
      </c>
      <c r="F6" s="123" t="s">
        <v>1061</v>
      </c>
      <c r="G6" s="123" t="s">
        <v>1069</v>
      </c>
      <c r="H6" s="123" t="s">
        <v>1070</v>
      </c>
      <c r="I6" s="123" t="s">
        <v>1071</v>
      </c>
      <c r="J6" s="123" t="s">
        <v>1072</v>
      </c>
      <c r="K6" s="123" t="s">
        <v>1073</v>
      </c>
      <c r="L6" s="124" t="s">
        <v>1074</v>
      </c>
    </row>
    <row r="7" spans="1:12" outlineLevel="2">
      <c r="A7" s="125" t="s">
        <v>1064</v>
      </c>
      <c r="B7" s="127">
        <v>1.1000000000000001</v>
      </c>
      <c r="C7" s="125" t="s">
        <v>1077</v>
      </c>
      <c r="D7" s="126">
        <v>43710</v>
      </c>
      <c r="E7" s="126">
        <v>43710</v>
      </c>
      <c r="F7" s="125">
        <v>1</v>
      </c>
      <c r="G7" s="125">
        <v>1</v>
      </c>
      <c r="H7" s="125">
        <v>1</v>
      </c>
      <c r="I7" s="125">
        <v>1</v>
      </c>
      <c r="J7" s="132">
        <v>1</v>
      </c>
      <c r="K7" s="132">
        <v>1</v>
      </c>
      <c r="L7" s="132">
        <f t="shared" ref="L7:L15" si="0">K7-J7</f>
        <v>0</v>
      </c>
    </row>
    <row r="8" spans="1:12" outlineLevel="2">
      <c r="A8" s="125" t="s">
        <v>1064</v>
      </c>
      <c r="B8" s="127">
        <v>1.2</v>
      </c>
      <c r="C8" s="125" t="s">
        <v>1085</v>
      </c>
      <c r="D8" s="126">
        <v>43710</v>
      </c>
      <c r="E8" s="126">
        <v>43711</v>
      </c>
      <c r="F8" s="125">
        <v>1</v>
      </c>
      <c r="G8" s="125">
        <v>2</v>
      </c>
      <c r="H8" s="125">
        <v>2</v>
      </c>
      <c r="I8" s="125">
        <v>2</v>
      </c>
      <c r="J8" s="132">
        <v>1</v>
      </c>
      <c r="K8" s="132">
        <v>1</v>
      </c>
      <c r="L8" s="132">
        <f t="shared" si="0"/>
        <v>0</v>
      </c>
    </row>
    <row r="9" spans="1:12" outlineLevel="2">
      <c r="A9" s="125" t="s">
        <v>1064</v>
      </c>
      <c r="B9" s="127">
        <v>1.3</v>
      </c>
      <c r="C9" s="125" t="s">
        <v>1082</v>
      </c>
      <c r="D9" s="126">
        <v>43711</v>
      </c>
      <c r="E9" s="126">
        <v>43712</v>
      </c>
      <c r="F9" s="125">
        <v>1</v>
      </c>
      <c r="G9" s="125">
        <v>2</v>
      </c>
      <c r="H9" s="125">
        <v>2</v>
      </c>
      <c r="I9" s="125">
        <v>2</v>
      </c>
      <c r="J9" s="132">
        <v>1</v>
      </c>
      <c r="K9" s="132">
        <v>1</v>
      </c>
      <c r="L9" s="132">
        <f t="shared" si="0"/>
        <v>0</v>
      </c>
    </row>
    <row r="10" spans="1:12" outlineLevel="2">
      <c r="A10" s="125" t="s">
        <v>1064</v>
      </c>
      <c r="B10" s="127">
        <v>1.4</v>
      </c>
      <c r="C10" s="125" t="s">
        <v>1078</v>
      </c>
      <c r="D10" s="126">
        <v>43710</v>
      </c>
      <c r="E10" s="126">
        <v>43712</v>
      </c>
      <c r="F10" s="125">
        <v>1</v>
      </c>
      <c r="G10" s="125">
        <v>3</v>
      </c>
      <c r="H10" s="125">
        <v>3</v>
      </c>
      <c r="I10" s="125">
        <v>3</v>
      </c>
      <c r="J10" s="132">
        <v>1</v>
      </c>
      <c r="K10" s="132">
        <v>1</v>
      </c>
      <c r="L10" s="132">
        <f t="shared" si="0"/>
        <v>0</v>
      </c>
    </row>
    <row r="11" spans="1:12" outlineLevel="2">
      <c r="A11" s="125" t="s">
        <v>1064</v>
      </c>
      <c r="B11" s="127">
        <v>1.5</v>
      </c>
      <c r="C11" s="125" t="s">
        <v>1079</v>
      </c>
      <c r="D11" s="126">
        <v>43711</v>
      </c>
      <c r="E11" s="126">
        <v>43711</v>
      </c>
      <c r="F11" s="125">
        <v>1</v>
      </c>
      <c r="G11" s="125">
        <v>1</v>
      </c>
      <c r="H11" s="125">
        <v>1</v>
      </c>
      <c r="I11" s="125">
        <v>1</v>
      </c>
      <c r="J11" s="132">
        <v>1</v>
      </c>
      <c r="K11" s="132">
        <v>1</v>
      </c>
      <c r="L11" s="132">
        <f t="shared" si="0"/>
        <v>0</v>
      </c>
    </row>
    <row r="12" spans="1:12" outlineLevel="2">
      <c r="A12" s="125" t="s">
        <v>1064</v>
      </c>
      <c r="B12" s="127">
        <v>1.6</v>
      </c>
      <c r="C12" s="125" t="s">
        <v>1080</v>
      </c>
      <c r="D12" s="126">
        <v>43712</v>
      </c>
      <c r="E12" s="126">
        <v>43713</v>
      </c>
      <c r="F12" s="125">
        <v>1</v>
      </c>
      <c r="G12" s="125">
        <v>2</v>
      </c>
      <c r="H12" s="125">
        <v>1</v>
      </c>
      <c r="I12" s="125">
        <v>1</v>
      </c>
      <c r="J12" s="132">
        <v>0.5</v>
      </c>
      <c r="K12" s="132">
        <v>0.5</v>
      </c>
      <c r="L12" s="132">
        <f t="shared" si="0"/>
        <v>0</v>
      </c>
    </row>
    <row r="13" spans="1:12" outlineLevel="2">
      <c r="A13" s="125" t="s">
        <v>1064</v>
      </c>
      <c r="B13" s="127">
        <v>1.7</v>
      </c>
      <c r="C13" s="125" t="s">
        <v>1081</v>
      </c>
      <c r="D13" s="126">
        <v>43713</v>
      </c>
      <c r="E13" s="126">
        <v>43714</v>
      </c>
      <c r="F13" s="125">
        <v>1</v>
      </c>
      <c r="G13" s="125">
        <v>2</v>
      </c>
      <c r="H13" s="125">
        <v>0</v>
      </c>
      <c r="I13" s="125">
        <v>0</v>
      </c>
      <c r="J13" s="132">
        <v>0</v>
      </c>
      <c r="K13" s="132">
        <v>0</v>
      </c>
      <c r="L13" s="132">
        <f t="shared" si="0"/>
        <v>0</v>
      </c>
    </row>
    <row r="14" spans="1:12" outlineLevel="2">
      <c r="A14" s="125" t="s">
        <v>1064</v>
      </c>
      <c r="B14" s="127">
        <v>1.8</v>
      </c>
      <c r="C14" s="125" t="s">
        <v>1083</v>
      </c>
      <c r="D14" s="126">
        <v>43717</v>
      </c>
      <c r="E14" s="126">
        <v>43718</v>
      </c>
      <c r="F14" s="125">
        <v>1</v>
      </c>
      <c r="G14" s="125">
        <v>2</v>
      </c>
      <c r="H14" s="125">
        <v>0</v>
      </c>
      <c r="I14" s="125">
        <v>0</v>
      </c>
      <c r="J14" s="132">
        <v>0</v>
      </c>
      <c r="K14" s="132">
        <v>0</v>
      </c>
      <c r="L14" s="132">
        <f t="shared" si="0"/>
        <v>0</v>
      </c>
    </row>
    <row r="15" spans="1:12" outlineLevel="1">
      <c r="A15" s="128" t="s">
        <v>1075</v>
      </c>
      <c r="B15" s="129"/>
      <c r="C15" s="130"/>
      <c r="D15" s="131"/>
      <c r="E15" s="131"/>
      <c r="F15" s="130"/>
      <c r="G15" s="130">
        <f>SUBTOTAL(9,G7:G14)</f>
        <v>15</v>
      </c>
      <c r="H15" s="130">
        <f>SUBTOTAL(9,H7:H14)</f>
        <v>10</v>
      </c>
      <c r="I15" s="130">
        <f>SUBTOTAL(9,I7:I14)</f>
        <v>10</v>
      </c>
      <c r="J15" s="133">
        <f>H15/G15</f>
        <v>0.66666666666666663</v>
      </c>
      <c r="K15" s="133">
        <f>I15/G15</f>
        <v>0.66666666666666663</v>
      </c>
      <c r="L15" s="133">
        <f t="shared" si="0"/>
        <v>0</v>
      </c>
    </row>
    <row r="16" spans="1:12" outlineLevel="1">
      <c r="J16" s="132"/>
      <c r="K16" s="132"/>
      <c r="L16" s="132"/>
    </row>
    <row r="17" spans="1:12" outlineLevel="1">
      <c r="A17" s="128" t="s">
        <v>1076</v>
      </c>
      <c r="B17" s="130"/>
      <c r="C17" s="130"/>
      <c r="D17" s="130"/>
      <c r="E17" s="130"/>
      <c r="F17" s="130"/>
      <c r="G17" s="130">
        <f>SUBTOTAL(9,G7:G16)</f>
        <v>15</v>
      </c>
      <c r="H17" s="130">
        <f>SUBTOTAL(9,H7:H16)</f>
        <v>10</v>
      </c>
      <c r="I17" s="130">
        <f>SUBTOTAL(9,I7:I16)</f>
        <v>10</v>
      </c>
      <c r="J17" s="133">
        <f>H17/G17</f>
        <v>0.66666666666666663</v>
      </c>
      <c r="K17" s="133">
        <f>I17/G17</f>
        <v>0.66666666666666663</v>
      </c>
      <c r="L17" s="133">
        <f>K17-J17</f>
        <v>0</v>
      </c>
    </row>
  </sheetData>
  <sortState xmlns:xlrd2="http://schemas.microsoft.com/office/spreadsheetml/2017/richdata2" ref="A7:M16">
    <sortCondition ref="A7:A51"/>
    <sortCondition ref="B7:B51"/>
  </sortState>
  <dataConsolidate/>
  <phoneticPr fontId="2" type="noConversion"/>
  <hyperlinks>
    <hyperlink ref="B7" location="Schedule!$D$6" display="1.1" xr:uid="{CD7D6A36-040D-4FC6-9659-75160617B8B2}"/>
    <hyperlink ref="B8" location="Schedule!$D$7" display="1.2" xr:uid="{075A00DF-C6B7-443A-ADB7-8EF100D8C7E0}"/>
    <hyperlink ref="B9" location="Schedule!$D$8" display="1.3" xr:uid="{CE15268B-48BA-4659-A34E-8BA43737F977}"/>
    <hyperlink ref="B10" location="Schedule!$D$9" display="1.4" xr:uid="{7C91F2F0-E2CD-4E87-BF41-A3846F3BD53F}"/>
    <hyperlink ref="B11" location="Schedule!$D$10" display="1.5" xr:uid="{E2187922-5E23-4D5F-BED7-90A449728A41}"/>
    <hyperlink ref="B12" location="Schedule!$D$11" display="1.6" xr:uid="{8519C540-E245-40B7-82C3-10787695BBA0}"/>
    <hyperlink ref="B13" location="Schedule!$D$12" display="1.7" xr:uid="{8EBCF5A7-0B2B-4B88-8507-F01D5763C329}"/>
    <hyperlink ref="B14" location="Schedule!$D$13" display="1.8" xr:uid="{4FAEC667-1B91-4A8C-A438-D40602B07F3B}"/>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B28" sqref="B28"/>
    </sheetView>
  </sheetViews>
  <sheetFormatPr defaultColWidth="10" defaultRowHeight="15"/>
  <cols>
    <col min="1" max="1" width="31.625" style="70" customWidth="1"/>
    <col min="2" max="2" width="14.5" style="70" customWidth="1"/>
    <col min="3" max="3" width="7.625" style="70" customWidth="1"/>
    <col min="4" max="4" width="21.5" style="70" customWidth="1"/>
    <col min="5" max="5" width="14.125" style="70" customWidth="1"/>
    <col min="6" max="6" width="10" style="70"/>
    <col min="7" max="7" width="24.25" style="70" customWidth="1"/>
    <col min="8" max="8" width="18.375" style="70" bestFit="1" customWidth="1"/>
    <col min="9" max="9" width="11.125" style="70" bestFit="1" customWidth="1"/>
    <col min="10" max="10" width="27.375" style="70" bestFit="1" customWidth="1"/>
    <col min="11" max="19" width="10" style="70"/>
    <col min="20" max="23" width="10" style="70" customWidth="1"/>
    <col min="24" max="16384" width="10" style="70"/>
  </cols>
  <sheetData>
    <row r="1" spans="1:9" s="64" customFormat="1" ht="36.950000000000003" customHeight="1">
      <c r="A1" s="1" t="s">
        <v>1010</v>
      </c>
      <c r="B1" s="1"/>
      <c r="C1" s="1"/>
      <c r="D1" s="1"/>
      <c r="E1" s="1"/>
      <c r="F1" s="1"/>
      <c r="G1" s="1"/>
      <c r="H1" s="1"/>
    </row>
    <row r="2" spans="1:9" s="65" customFormat="1" ht="78.75" customHeight="1">
      <c r="A2" s="273" t="s">
        <v>1011</v>
      </c>
      <c r="B2" s="273"/>
      <c r="C2" s="273"/>
      <c r="D2" s="273"/>
      <c r="E2" s="273"/>
      <c r="F2" s="273"/>
      <c r="G2" s="273"/>
      <c r="H2" s="273"/>
    </row>
    <row r="3" spans="1:9" s="65" customFormat="1" ht="24.75" customHeight="1">
      <c r="A3" s="274" t="s">
        <v>1012</v>
      </c>
      <c r="B3" s="274"/>
      <c r="D3" s="274" t="s">
        <v>1013</v>
      </c>
      <c r="E3" s="274"/>
      <c r="G3" s="274" t="s">
        <v>1014</v>
      </c>
      <c r="H3" s="274"/>
    </row>
    <row r="4" spans="1:9" s="67" customFormat="1" ht="19.5" customHeight="1">
      <c r="A4" s="66" t="s">
        <v>1015</v>
      </c>
      <c r="B4" s="66" t="s">
        <v>1017</v>
      </c>
      <c r="D4" s="66" t="s">
        <v>1016</v>
      </c>
      <c r="E4" s="66" t="s">
        <v>1018</v>
      </c>
      <c r="G4" s="66" t="s">
        <v>1016</v>
      </c>
      <c r="H4" s="66" t="s">
        <v>1017</v>
      </c>
    </row>
    <row r="5" spans="1:9" ht="16.5">
      <c r="A5" s="95" t="s">
        <v>967</v>
      </c>
      <c r="B5" s="96">
        <v>43101</v>
      </c>
      <c r="C5" s="70" t="str">
        <f t="shared" ref="C5:C68" si="0">IF(B5&gt;0,TEXT(B5,"(aaa)"),"")</f>
        <v>(월)</v>
      </c>
      <c r="D5" s="68"/>
      <c r="E5" s="69"/>
      <c r="F5" s="70" t="str">
        <f t="shared" ref="F5:F68" si="1">IF(E5&gt;0,TEXT(E5,"(aaa)"),"")</f>
        <v/>
      </c>
      <c r="G5" s="68"/>
      <c r="H5" s="69"/>
      <c r="I5" s="70" t="str">
        <f t="shared" ref="I5:I68" si="2">IF(H5&gt;0,TEXT(H5,"(aaa)"),"")</f>
        <v/>
      </c>
    </row>
    <row r="6" spans="1:9" ht="16.5">
      <c r="A6" s="95" t="s">
        <v>968</v>
      </c>
      <c r="B6" s="96">
        <v>43146</v>
      </c>
      <c r="C6" s="70" t="str">
        <f t="shared" si="0"/>
        <v>(목)</v>
      </c>
      <c r="D6" s="68"/>
      <c r="E6" s="69"/>
      <c r="F6" s="70" t="str">
        <f t="shared" si="1"/>
        <v/>
      </c>
      <c r="G6" s="68"/>
      <c r="H6" s="69"/>
      <c r="I6" s="70" t="str">
        <f t="shared" si="2"/>
        <v/>
      </c>
    </row>
    <row r="7" spans="1:9" ht="16.5">
      <c r="A7" s="95" t="s">
        <v>969</v>
      </c>
      <c r="B7" s="96">
        <v>43147</v>
      </c>
      <c r="C7" s="70" t="str">
        <f t="shared" si="0"/>
        <v>(금)</v>
      </c>
      <c r="D7" s="68"/>
      <c r="E7" s="69"/>
      <c r="F7" s="70" t="str">
        <f t="shared" si="1"/>
        <v/>
      </c>
      <c r="G7" s="68"/>
      <c r="H7" s="69"/>
      <c r="I7" s="70" t="str">
        <f t="shared" si="2"/>
        <v/>
      </c>
    </row>
    <row r="8" spans="1:9" ht="16.5">
      <c r="A8" s="95" t="s">
        <v>970</v>
      </c>
      <c r="B8" s="96">
        <v>43160</v>
      </c>
      <c r="C8" s="70" t="str">
        <f t="shared" si="0"/>
        <v>(목)</v>
      </c>
      <c r="D8" s="68"/>
      <c r="E8" s="69"/>
      <c r="F8" s="70" t="str">
        <f t="shared" si="1"/>
        <v/>
      </c>
      <c r="G8" s="68"/>
      <c r="H8" s="69"/>
      <c r="I8" s="70" t="str">
        <f t="shared" si="2"/>
        <v/>
      </c>
    </row>
    <row r="9" spans="1:9" ht="16.5">
      <c r="A9" s="95" t="s">
        <v>889</v>
      </c>
      <c r="B9" s="96">
        <v>43227</v>
      </c>
      <c r="C9" s="70" t="str">
        <f t="shared" si="0"/>
        <v>(월)</v>
      </c>
      <c r="D9" s="68"/>
      <c r="E9" s="69"/>
      <c r="F9" s="70" t="str">
        <f t="shared" si="1"/>
        <v/>
      </c>
      <c r="G9" s="68"/>
      <c r="H9" s="69"/>
      <c r="I9" s="70" t="str">
        <f t="shared" si="2"/>
        <v/>
      </c>
    </row>
    <row r="10" spans="1:9" ht="16.5">
      <c r="A10" s="95" t="s">
        <v>890</v>
      </c>
      <c r="B10" s="96">
        <v>43242</v>
      </c>
      <c r="C10" s="70" t="str">
        <f t="shared" si="0"/>
        <v>(화)</v>
      </c>
      <c r="D10" s="68"/>
      <c r="E10" s="69"/>
      <c r="F10" s="70" t="str">
        <f t="shared" si="1"/>
        <v/>
      </c>
      <c r="G10" s="68"/>
      <c r="H10" s="69"/>
      <c r="I10" s="70" t="str">
        <f t="shared" si="2"/>
        <v/>
      </c>
    </row>
    <row r="11" spans="1:9" ht="16.5">
      <c r="A11" s="95" t="s">
        <v>891</v>
      </c>
      <c r="B11" s="96">
        <v>43257</v>
      </c>
      <c r="C11" s="70" t="str">
        <f t="shared" si="0"/>
        <v>(수)</v>
      </c>
      <c r="D11" s="68"/>
      <c r="E11" s="69"/>
      <c r="F11" s="70" t="str">
        <f t="shared" si="1"/>
        <v/>
      </c>
      <c r="G11" s="68"/>
      <c r="H11" s="69"/>
      <c r="I11" s="70" t="str">
        <f t="shared" si="2"/>
        <v/>
      </c>
    </row>
    <row r="12" spans="1:9" ht="16.5">
      <c r="A12" s="95" t="s">
        <v>892</v>
      </c>
      <c r="B12" s="96">
        <v>43327</v>
      </c>
      <c r="C12" s="70" t="str">
        <f t="shared" si="0"/>
        <v>(수)</v>
      </c>
      <c r="D12" s="68"/>
      <c r="E12" s="69"/>
      <c r="F12" s="70" t="str">
        <f t="shared" si="1"/>
        <v/>
      </c>
      <c r="G12" s="68"/>
      <c r="H12" s="69"/>
      <c r="I12" s="70" t="str">
        <f t="shared" si="2"/>
        <v/>
      </c>
    </row>
    <row r="13" spans="1:9" ht="16.5">
      <c r="A13" s="95" t="s">
        <v>893</v>
      </c>
      <c r="B13" s="96">
        <v>43367</v>
      </c>
      <c r="C13" s="70" t="str">
        <f t="shared" si="0"/>
        <v>(월)</v>
      </c>
      <c r="D13" s="68"/>
      <c r="E13" s="69"/>
      <c r="F13" s="70" t="str">
        <f t="shared" si="1"/>
        <v/>
      </c>
      <c r="G13" s="68"/>
      <c r="H13" s="69"/>
      <c r="I13" s="70" t="str">
        <f t="shared" si="2"/>
        <v/>
      </c>
    </row>
    <row r="14" spans="1:9" ht="16.5">
      <c r="A14" s="95" t="s">
        <v>894</v>
      </c>
      <c r="B14" s="96">
        <v>43368</v>
      </c>
      <c r="C14" s="70" t="str">
        <f t="shared" si="0"/>
        <v>(화)</v>
      </c>
      <c r="D14" s="68"/>
      <c r="E14" s="69"/>
      <c r="F14" s="70" t="str">
        <f t="shared" si="1"/>
        <v/>
      </c>
      <c r="G14" s="68"/>
      <c r="H14" s="69"/>
      <c r="I14" s="70" t="str">
        <f t="shared" si="2"/>
        <v/>
      </c>
    </row>
    <row r="15" spans="1:9" ht="16.5">
      <c r="A15" s="95" t="s">
        <v>895</v>
      </c>
      <c r="B15" s="96">
        <v>43369</v>
      </c>
      <c r="C15" s="70" t="str">
        <f t="shared" si="0"/>
        <v>(수)</v>
      </c>
      <c r="D15" s="68"/>
      <c r="E15" s="69"/>
      <c r="F15" s="70" t="str">
        <f t="shared" si="1"/>
        <v/>
      </c>
      <c r="G15" s="68"/>
      <c r="H15" s="69"/>
      <c r="I15" s="70" t="str">
        <f t="shared" si="2"/>
        <v/>
      </c>
    </row>
    <row r="16" spans="1:9" ht="16.5">
      <c r="A16" s="95" t="s">
        <v>896</v>
      </c>
      <c r="B16" s="96">
        <v>43376</v>
      </c>
      <c r="C16" s="70" t="str">
        <f t="shared" si="0"/>
        <v>(수)</v>
      </c>
      <c r="D16" s="68"/>
      <c r="E16" s="69"/>
      <c r="F16" s="70" t="str">
        <f t="shared" si="1"/>
        <v/>
      </c>
      <c r="G16" s="68"/>
      <c r="H16" s="69"/>
      <c r="I16" s="70" t="str">
        <f t="shared" si="2"/>
        <v/>
      </c>
    </row>
    <row r="17" spans="1:10" ht="16.5">
      <c r="A17" s="95" t="s">
        <v>897</v>
      </c>
      <c r="B17" s="96">
        <v>43382</v>
      </c>
      <c r="C17" s="70" t="str">
        <f t="shared" si="0"/>
        <v>(화)</v>
      </c>
      <c r="D17" s="68"/>
      <c r="E17" s="69"/>
      <c r="F17" s="70" t="str">
        <f t="shared" si="1"/>
        <v/>
      </c>
      <c r="G17" s="68"/>
      <c r="H17" s="69"/>
      <c r="I17" s="70" t="str">
        <f t="shared" si="2"/>
        <v/>
      </c>
    </row>
    <row r="18" spans="1:10" ht="16.5">
      <c r="A18" s="95" t="s">
        <v>898</v>
      </c>
      <c r="B18" s="96">
        <v>43459</v>
      </c>
      <c r="C18" s="70" t="str">
        <f t="shared" si="0"/>
        <v>(화)</v>
      </c>
      <c r="D18" s="68"/>
      <c r="E18" s="69"/>
      <c r="F18" s="70" t="str">
        <f t="shared" si="1"/>
        <v/>
      </c>
      <c r="G18" s="68"/>
      <c r="H18" s="69"/>
      <c r="I18" s="70" t="str">
        <f t="shared" si="2"/>
        <v/>
      </c>
    </row>
    <row r="19" spans="1:10" ht="16.5">
      <c r="A19" s="95" t="s">
        <v>971</v>
      </c>
      <c r="B19" s="96">
        <v>43466</v>
      </c>
      <c r="C19" s="70" t="str">
        <f t="shared" si="0"/>
        <v>(화)</v>
      </c>
      <c r="D19" s="68"/>
      <c r="E19" s="69"/>
      <c r="F19" s="70" t="str">
        <f t="shared" si="1"/>
        <v/>
      </c>
      <c r="G19" s="68"/>
      <c r="H19" s="69"/>
      <c r="I19" s="70" t="str">
        <f t="shared" si="2"/>
        <v/>
      </c>
      <c r="J19" s="71"/>
    </row>
    <row r="20" spans="1:10" ht="16.5">
      <c r="A20" s="95" t="s">
        <v>972</v>
      </c>
      <c r="B20" s="96">
        <v>43500</v>
      </c>
      <c r="C20" s="70" t="str">
        <f t="shared" si="0"/>
        <v>(월)</v>
      </c>
      <c r="D20" s="68"/>
      <c r="E20" s="69"/>
      <c r="F20" s="70" t="str">
        <f t="shared" si="1"/>
        <v/>
      </c>
      <c r="G20" s="68"/>
      <c r="H20" s="69"/>
      <c r="I20" s="70" t="str">
        <f t="shared" si="2"/>
        <v/>
      </c>
      <c r="J20" s="71"/>
    </row>
    <row r="21" spans="1:10" ht="16.5">
      <c r="A21" s="95" t="s">
        <v>973</v>
      </c>
      <c r="B21" s="96">
        <v>43501</v>
      </c>
      <c r="C21" s="70" t="str">
        <f t="shared" si="0"/>
        <v>(화)</v>
      </c>
      <c r="D21" s="68"/>
      <c r="E21" s="69"/>
      <c r="F21" s="70" t="str">
        <f t="shared" si="1"/>
        <v/>
      </c>
      <c r="G21" s="68"/>
      <c r="H21" s="69"/>
      <c r="I21" s="70" t="str">
        <f t="shared" si="2"/>
        <v/>
      </c>
    </row>
    <row r="22" spans="1:10" ht="16.5">
      <c r="A22" s="95" t="s">
        <v>972</v>
      </c>
      <c r="B22" s="96">
        <v>43502</v>
      </c>
      <c r="C22" s="70" t="str">
        <f t="shared" si="0"/>
        <v>(수)</v>
      </c>
      <c r="D22" s="68"/>
      <c r="E22" s="69"/>
      <c r="F22" s="70" t="str">
        <f t="shared" si="1"/>
        <v/>
      </c>
      <c r="G22" s="68"/>
      <c r="H22" s="69"/>
      <c r="I22" s="70" t="str">
        <f t="shared" si="2"/>
        <v/>
      </c>
    </row>
    <row r="23" spans="1:10" ht="16.5">
      <c r="A23" s="95" t="s">
        <v>974</v>
      </c>
      <c r="B23" s="96">
        <v>43525</v>
      </c>
      <c r="C23" s="70" t="str">
        <f t="shared" si="0"/>
        <v>(금)</v>
      </c>
      <c r="D23" s="68"/>
      <c r="E23" s="69"/>
      <c r="F23" s="70" t="str">
        <f t="shared" si="1"/>
        <v/>
      </c>
      <c r="G23" s="68"/>
      <c r="H23" s="69"/>
      <c r="I23" s="70" t="str">
        <f t="shared" si="2"/>
        <v/>
      </c>
    </row>
    <row r="24" spans="1:10" ht="16.5">
      <c r="A24" s="95" t="s">
        <v>975</v>
      </c>
      <c r="B24" s="96">
        <v>43591</v>
      </c>
      <c r="C24" s="70" t="str">
        <f t="shared" si="0"/>
        <v>(월)</v>
      </c>
      <c r="D24" s="68"/>
      <c r="E24" s="69"/>
      <c r="F24" s="70" t="str">
        <f t="shared" si="1"/>
        <v/>
      </c>
      <c r="G24" s="68"/>
      <c r="H24" s="69"/>
      <c r="I24" s="70" t="str">
        <f t="shared" si="2"/>
        <v/>
      </c>
    </row>
    <row r="25" spans="1:10" ht="16.5">
      <c r="A25" s="95" t="s">
        <v>976</v>
      </c>
      <c r="B25" s="96">
        <v>43622</v>
      </c>
      <c r="C25" s="70" t="str">
        <f t="shared" si="0"/>
        <v>(목)</v>
      </c>
      <c r="D25" s="68"/>
      <c r="E25" s="69"/>
      <c r="F25" s="70" t="str">
        <f t="shared" si="1"/>
        <v/>
      </c>
      <c r="G25" s="68"/>
      <c r="H25" s="69"/>
      <c r="I25" s="70" t="str">
        <f t="shared" si="2"/>
        <v/>
      </c>
    </row>
    <row r="26" spans="1:10" ht="16.5">
      <c r="A26" s="95" t="s">
        <v>977</v>
      </c>
      <c r="B26" s="96">
        <v>43692</v>
      </c>
      <c r="C26" s="70" t="str">
        <f t="shared" si="0"/>
        <v>(목)</v>
      </c>
      <c r="D26" s="68"/>
      <c r="E26" s="69"/>
      <c r="F26" s="70" t="str">
        <f t="shared" si="1"/>
        <v/>
      </c>
      <c r="G26" s="68"/>
      <c r="H26" s="69"/>
      <c r="I26" s="70" t="str">
        <f t="shared" si="2"/>
        <v/>
      </c>
    </row>
    <row r="27" spans="1:10" ht="16.5">
      <c r="A27" s="95" t="s">
        <v>978</v>
      </c>
      <c r="B27" s="96">
        <v>43720</v>
      </c>
      <c r="C27" s="70" t="str">
        <f t="shared" si="0"/>
        <v>(목)</v>
      </c>
      <c r="D27" s="68"/>
      <c r="E27" s="69"/>
      <c r="F27" s="70" t="str">
        <f t="shared" si="1"/>
        <v/>
      </c>
      <c r="G27" s="68"/>
      <c r="H27" s="69"/>
      <c r="I27" s="70" t="str">
        <f t="shared" si="2"/>
        <v/>
      </c>
    </row>
    <row r="28" spans="1:10" ht="16.5">
      <c r="A28" s="95" t="s">
        <v>979</v>
      </c>
      <c r="B28" s="96">
        <v>43721</v>
      </c>
      <c r="C28" s="70" t="str">
        <f t="shared" si="0"/>
        <v>(금)</v>
      </c>
      <c r="D28" s="68"/>
      <c r="E28" s="69"/>
      <c r="F28" s="70" t="str">
        <f t="shared" si="1"/>
        <v/>
      </c>
      <c r="G28" s="68"/>
      <c r="H28" s="69"/>
      <c r="I28" s="70" t="str">
        <f t="shared" si="2"/>
        <v/>
      </c>
    </row>
    <row r="29" spans="1:10" ht="16.5">
      <c r="A29" s="95" t="s">
        <v>980</v>
      </c>
      <c r="B29" s="96">
        <v>43741</v>
      </c>
      <c r="C29" s="70" t="str">
        <f t="shared" si="0"/>
        <v>(목)</v>
      </c>
      <c r="D29" s="68"/>
      <c r="E29" s="69"/>
      <c r="F29" s="70" t="str">
        <f t="shared" si="1"/>
        <v/>
      </c>
      <c r="G29" s="68"/>
      <c r="H29" s="69"/>
      <c r="I29" s="70" t="str">
        <f t="shared" si="2"/>
        <v/>
      </c>
    </row>
    <row r="30" spans="1:10" ht="16.5">
      <c r="A30" s="95" t="s">
        <v>981</v>
      </c>
      <c r="B30" s="96">
        <v>43747</v>
      </c>
      <c r="C30" s="70" t="str">
        <f t="shared" si="0"/>
        <v>(수)</v>
      </c>
      <c r="D30" s="68"/>
      <c r="E30" s="69"/>
      <c r="F30" s="70" t="str">
        <f t="shared" si="1"/>
        <v/>
      </c>
      <c r="G30" s="68"/>
      <c r="H30" s="69"/>
      <c r="I30" s="70" t="str">
        <f t="shared" si="2"/>
        <v/>
      </c>
    </row>
    <row r="31" spans="1:10" ht="16.5">
      <c r="A31" s="95" t="s">
        <v>982</v>
      </c>
      <c r="B31" s="96">
        <v>43824</v>
      </c>
      <c r="C31" s="70" t="str">
        <f t="shared" si="0"/>
        <v>(수)</v>
      </c>
      <c r="D31" s="68"/>
      <c r="E31" s="69"/>
      <c r="F31" s="70" t="str">
        <f t="shared" si="1"/>
        <v/>
      </c>
      <c r="G31" s="68"/>
      <c r="H31" s="69"/>
      <c r="I31" s="70" t="str">
        <f t="shared" si="2"/>
        <v/>
      </c>
    </row>
    <row r="32" spans="1:10">
      <c r="A32" s="95"/>
      <c r="B32" s="96"/>
      <c r="C32" s="70" t="str">
        <f t="shared" si="0"/>
        <v/>
      </c>
      <c r="D32" s="68"/>
      <c r="E32" s="69"/>
      <c r="F32" s="70" t="str">
        <f t="shared" si="1"/>
        <v/>
      </c>
      <c r="G32" s="68"/>
      <c r="H32" s="69"/>
      <c r="I32" s="70" t="str">
        <f t="shared" si="2"/>
        <v/>
      </c>
    </row>
    <row r="33" spans="1:9">
      <c r="A33" s="95"/>
      <c r="B33" s="96"/>
      <c r="C33" s="70" t="str">
        <f t="shared" si="0"/>
        <v/>
      </c>
      <c r="D33" s="68"/>
      <c r="E33" s="69"/>
      <c r="F33" s="70" t="str">
        <f t="shared" si="1"/>
        <v/>
      </c>
      <c r="G33" s="68"/>
      <c r="H33" s="69"/>
      <c r="I33" s="70" t="str">
        <f t="shared" si="2"/>
        <v/>
      </c>
    </row>
    <row r="34" spans="1:9">
      <c r="A34" s="95"/>
      <c r="B34" s="96"/>
      <c r="C34" s="70" t="str">
        <f t="shared" si="0"/>
        <v/>
      </c>
      <c r="D34" s="68"/>
      <c r="E34" s="69"/>
      <c r="F34" s="70" t="str">
        <f t="shared" si="1"/>
        <v/>
      </c>
      <c r="G34" s="68"/>
      <c r="H34" s="69"/>
      <c r="I34" s="70" t="str">
        <f t="shared" si="2"/>
        <v/>
      </c>
    </row>
    <row r="35" spans="1:9">
      <c r="A35" s="95"/>
      <c r="B35" s="96"/>
      <c r="C35" s="70" t="str">
        <f t="shared" si="0"/>
        <v/>
      </c>
      <c r="D35" s="68"/>
      <c r="E35" s="69"/>
      <c r="F35" s="70" t="str">
        <f t="shared" si="1"/>
        <v/>
      </c>
      <c r="G35" s="68"/>
      <c r="H35" s="69"/>
      <c r="I35" s="70" t="str">
        <f t="shared" si="2"/>
        <v/>
      </c>
    </row>
    <row r="36" spans="1:9">
      <c r="A36" s="95"/>
      <c r="B36" s="96"/>
      <c r="C36" s="70" t="str">
        <f t="shared" si="0"/>
        <v/>
      </c>
      <c r="D36" s="68"/>
      <c r="E36" s="69"/>
      <c r="F36" s="70" t="str">
        <f t="shared" si="1"/>
        <v/>
      </c>
      <c r="G36" s="68"/>
      <c r="H36" s="69"/>
      <c r="I36" s="70" t="str">
        <f t="shared" si="2"/>
        <v/>
      </c>
    </row>
    <row r="37" spans="1:9">
      <c r="A37" s="95"/>
      <c r="B37" s="96"/>
      <c r="C37" s="70" t="str">
        <f t="shared" si="0"/>
        <v/>
      </c>
      <c r="D37" s="68"/>
      <c r="E37" s="69"/>
      <c r="F37" s="70" t="str">
        <f t="shared" si="1"/>
        <v/>
      </c>
      <c r="G37" s="68"/>
      <c r="H37" s="69"/>
      <c r="I37" s="70" t="str">
        <f t="shared" si="2"/>
        <v/>
      </c>
    </row>
    <row r="38" spans="1:9">
      <c r="A38" s="95"/>
      <c r="B38" s="96"/>
      <c r="C38" s="70" t="str">
        <f t="shared" si="0"/>
        <v/>
      </c>
      <c r="D38" s="68"/>
      <c r="E38" s="69"/>
      <c r="F38" s="70" t="str">
        <f t="shared" si="1"/>
        <v/>
      </c>
      <c r="G38" s="68"/>
      <c r="H38" s="69"/>
      <c r="I38" s="70" t="str">
        <f t="shared" si="2"/>
        <v/>
      </c>
    </row>
    <row r="39" spans="1:9">
      <c r="A39" s="95"/>
      <c r="B39" s="96"/>
      <c r="C39" s="70" t="str">
        <f t="shared" si="0"/>
        <v/>
      </c>
      <c r="D39" s="68"/>
      <c r="E39" s="69"/>
      <c r="F39" s="70" t="str">
        <f t="shared" si="1"/>
        <v/>
      </c>
      <c r="G39" s="68"/>
      <c r="H39" s="69"/>
      <c r="I39" s="70" t="str">
        <f t="shared" si="2"/>
        <v/>
      </c>
    </row>
    <row r="40" spans="1:9">
      <c r="A40" s="95"/>
      <c r="B40" s="96"/>
      <c r="C40" s="70" t="str">
        <f t="shared" si="0"/>
        <v/>
      </c>
      <c r="D40" s="68"/>
      <c r="E40" s="69"/>
      <c r="F40" s="70" t="str">
        <f t="shared" si="1"/>
        <v/>
      </c>
      <c r="G40" s="68"/>
      <c r="H40" s="69"/>
      <c r="I40" s="70" t="str">
        <f t="shared" si="2"/>
        <v/>
      </c>
    </row>
    <row r="41" spans="1:9">
      <c r="A41" s="95"/>
      <c r="B41" s="96"/>
      <c r="C41" s="70" t="str">
        <f t="shared" si="0"/>
        <v/>
      </c>
      <c r="D41" s="68"/>
      <c r="E41" s="69"/>
      <c r="F41" s="70" t="str">
        <f t="shared" si="1"/>
        <v/>
      </c>
      <c r="G41" s="68"/>
      <c r="H41" s="69"/>
      <c r="I41" s="70" t="str">
        <f t="shared" si="2"/>
        <v/>
      </c>
    </row>
    <row r="42" spans="1:9">
      <c r="A42" s="95"/>
      <c r="B42" s="96"/>
      <c r="C42" s="70" t="str">
        <f t="shared" si="0"/>
        <v/>
      </c>
      <c r="D42" s="68"/>
      <c r="E42" s="69"/>
      <c r="F42" s="70" t="str">
        <f t="shared" si="1"/>
        <v/>
      </c>
      <c r="G42" s="68"/>
      <c r="H42" s="69"/>
      <c r="I42" s="70" t="str">
        <f t="shared" si="2"/>
        <v/>
      </c>
    </row>
    <row r="43" spans="1:9">
      <c r="A43" s="95"/>
      <c r="B43" s="96"/>
      <c r="C43" s="70" t="str">
        <f t="shared" si="0"/>
        <v/>
      </c>
      <c r="D43" s="68"/>
      <c r="E43" s="69"/>
      <c r="F43" s="70" t="str">
        <f t="shared" si="1"/>
        <v/>
      </c>
      <c r="G43" s="68"/>
      <c r="H43" s="69"/>
      <c r="I43" s="70" t="str">
        <f t="shared" si="2"/>
        <v/>
      </c>
    </row>
    <row r="44" spans="1:9">
      <c r="A44" s="95"/>
      <c r="B44" s="96"/>
      <c r="C44" s="70" t="str">
        <f t="shared" si="0"/>
        <v/>
      </c>
      <c r="D44" s="68"/>
      <c r="E44" s="69"/>
      <c r="F44" s="70" t="str">
        <f t="shared" si="1"/>
        <v/>
      </c>
      <c r="G44" s="68"/>
      <c r="H44" s="69"/>
      <c r="I44" s="70" t="str">
        <f t="shared" si="2"/>
        <v/>
      </c>
    </row>
    <row r="45" spans="1:9">
      <c r="A45" s="95"/>
      <c r="B45" s="96"/>
      <c r="C45" s="70" t="str">
        <f t="shared" si="0"/>
        <v/>
      </c>
      <c r="D45" s="68"/>
      <c r="E45" s="69"/>
      <c r="F45" s="70" t="str">
        <f t="shared" si="1"/>
        <v/>
      </c>
      <c r="G45" s="68"/>
      <c r="H45" s="69"/>
      <c r="I45" s="70" t="str">
        <f t="shared" si="2"/>
        <v/>
      </c>
    </row>
    <row r="46" spans="1:9">
      <c r="A46" s="95"/>
      <c r="B46" s="96"/>
      <c r="C46" s="70" t="str">
        <f t="shared" si="0"/>
        <v/>
      </c>
      <c r="D46" s="68"/>
      <c r="E46" s="69"/>
      <c r="F46" s="70" t="str">
        <f t="shared" si="1"/>
        <v/>
      </c>
      <c r="G46" s="68"/>
      <c r="H46" s="69"/>
      <c r="I46" s="70" t="str">
        <f t="shared" si="2"/>
        <v/>
      </c>
    </row>
    <row r="47" spans="1:9">
      <c r="A47" s="95"/>
      <c r="B47" s="96"/>
      <c r="C47" s="70" t="str">
        <f t="shared" si="0"/>
        <v/>
      </c>
      <c r="D47" s="68"/>
      <c r="E47" s="69"/>
      <c r="F47" s="70" t="str">
        <f t="shared" si="1"/>
        <v/>
      </c>
      <c r="G47" s="68"/>
      <c r="H47" s="69"/>
      <c r="I47" s="70" t="str">
        <f t="shared" si="2"/>
        <v/>
      </c>
    </row>
    <row r="48" spans="1:9">
      <c r="A48" s="95"/>
      <c r="B48" s="96"/>
      <c r="C48" s="70" t="str">
        <f t="shared" si="0"/>
        <v/>
      </c>
      <c r="D48" s="68"/>
      <c r="E48" s="69"/>
      <c r="F48" s="70" t="str">
        <f t="shared" si="1"/>
        <v/>
      </c>
      <c r="G48" s="68"/>
      <c r="H48" s="69"/>
      <c r="I48" s="70" t="str">
        <f t="shared" si="2"/>
        <v/>
      </c>
    </row>
    <row r="49" spans="1:9">
      <c r="A49" s="95"/>
      <c r="B49" s="96"/>
      <c r="C49" s="70" t="str">
        <f t="shared" si="0"/>
        <v/>
      </c>
      <c r="D49" s="68"/>
      <c r="E49" s="69"/>
      <c r="F49" s="70" t="str">
        <f t="shared" si="1"/>
        <v/>
      </c>
      <c r="G49" s="68"/>
      <c r="H49" s="69"/>
      <c r="I49" s="70" t="str">
        <f t="shared" si="2"/>
        <v/>
      </c>
    </row>
    <row r="50" spans="1:9">
      <c r="A50" s="95"/>
      <c r="B50" s="96"/>
      <c r="C50" s="70" t="str">
        <f t="shared" si="0"/>
        <v/>
      </c>
      <c r="D50" s="68"/>
      <c r="E50" s="69"/>
      <c r="F50" s="70" t="str">
        <f t="shared" si="1"/>
        <v/>
      </c>
      <c r="G50" s="68"/>
      <c r="H50" s="69"/>
      <c r="I50" s="70" t="str">
        <f t="shared" si="2"/>
        <v/>
      </c>
    </row>
    <row r="51" spans="1:9">
      <c r="A51" s="95"/>
      <c r="B51" s="96"/>
      <c r="C51" s="70" t="str">
        <f t="shared" si="0"/>
        <v/>
      </c>
      <c r="D51" s="68"/>
      <c r="E51" s="69"/>
      <c r="F51" s="70" t="str">
        <f t="shared" si="1"/>
        <v/>
      </c>
      <c r="G51" s="68"/>
      <c r="H51" s="69"/>
      <c r="I51" s="70" t="str">
        <f t="shared" si="2"/>
        <v/>
      </c>
    </row>
    <row r="52" spans="1:9">
      <c r="A52" s="95"/>
      <c r="B52" s="96"/>
      <c r="C52" s="70" t="str">
        <f t="shared" si="0"/>
        <v/>
      </c>
      <c r="D52" s="68"/>
      <c r="E52" s="69"/>
      <c r="F52" s="70" t="str">
        <f t="shared" si="1"/>
        <v/>
      </c>
      <c r="G52" s="68"/>
      <c r="H52" s="69"/>
      <c r="I52" s="70" t="str">
        <f t="shared" si="2"/>
        <v/>
      </c>
    </row>
    <row r="53" spans="1:9">
      <c r="A53" s="95"/>
      <c r="B53" s="96"/>
      <c r="C53" s="70" t="str">
        <f t="shared" si="0"/>
        <v/>
      </c>
      <c r="D53" s="68"/>
      <c r="E53" s="69"/>
      <c r="F53" s="70" t="str">
        <f t="shared" si="1"/>
        <v/>
      </c>
      <c r="G53" s="68"/>
      <c r="H53" s="69"/>
      <c r="I53" s="70" t="str">
        <f t="shared" si="2"/>
        <v/>
      </c>
    </row>
    <row r="54" spans="1:9">
      <c r="A54" s="95"/>
      <c r="B54" s="96"/>
      <c r="C54" s="70" t="str">
        <f t="shared" si="0"/>
        <v/>
      </c>
      <c r="D54" s="68"/>
      <c r="E54" s="69"/>
      <c r="F54" s="70" t="str">
        <f t="shared" si="1"/>
        <v/>
      </c>
      <c r="G54" s="68"/>
      <c r="H54" s="69"/>
      <c r="I54" s="70" t="str">
        <f t="shared" si="2"/>
        <v/>
      </c>
    </row>
    <row r="55" spans="1:9">
      <c r="A55" s="95"/>
      <c r="B55" s="96"/>
      <c r="C55" s="70" t="str">
        <f t="shared" si="0"/>
        <v/>
      </c>
      <c r="D55" s="68"/>
      <c r="E55" s="69"/>
      <c r="F55" s="70" t="str">
        <f t="shared" si="1"/>
        <v/>
      </c>
      <c r="G55" s="68"/>
      <c r="H55" s="69"/>
      <c r="I55" s="70" t="str">
        <f t="shared" si="2"/>
        <v/>
      </c>
    </row>
    <row r="56" spans="1:9">
      <c r="A56" s="95"/>
      <c r="B56" s="96"/>
      <c r="C56" s="70" t="str">
        <f t="shared" si="0"/>
        <v/>
      </c>
      <c r="D56" s="68"/>
      <c r="E56" s="69"/>
      <c r="F56" s="70" t="str">
        <f t="shared" si="1"/>
        <v/>
      </c>
      <c r="G56" s="68"/>
      <c r="H56" s="69"/>
      <c r="I56" s="70" t="str">
        <f t="shared" si="2"/>
        <v/>
      </c>
    </row>
    <row r="57" spans="1:9">
      <c r="A57" s="95"/>
      <c r="B57" s="96"/>
      <c r="C57" s="70" t="str">
        <f t="shared" si="0"/>
        <v/>
      </c>
      <c r="D57" s="68"/>
      <c r="E57" s="69"/>
      <c r="F57" s="70" t="str">
        <f t="shared" si="1"/>
        <v/>
      </c>
      <c r="G57" s="68"/>
      <c r="H57" s="69"/>
      <c r="I57" s="70" t="str">
        <f t="shared" si="2"/>
        <v/>
      </c>
    </row>
    <row r="58" spans="1:9">
      <c r="A58" s="95"/>
      <c r="B58" s="96"/>
      <c r="C58" s="70" t="str">
        <f t="shared" si="0"/>
        <v/>
      </c>
      <c r="D58" s="68"/>
      <c r="E58" s="69"/>
      <c r="F58" s="70" t="str">
        <f t="shared" si="1"/>
        <v/>
      </c>
      <c r="G58" s="68"/>
      <c r="H58" s="69"/>
      <c r="I58" s="70" t="str">
        <f t="shared" si="2"/>
        <v/>
      </c>
    </row>
    <row r="59" spans="1:9">
      <c r="A59" s="95"/>
      <c r="B59" s="96"/>
      <c r="C59" s="70" t="str">
        <f t="shared" si="0"/>
        <v/>
      </c>
      <c r="D59" s="68"/>
      <c r="E59" s="69"/>
      <c r="F59" s="70" t="str">
        <f t="shared" si="1"/>
        <v/>
      </c>
      <c r="G59" s="68"/>
      <c r="H59" s="69"/>
      <c r="I59" s="70" t="str">
        <f t="shared" si="2"/>
        <v/>
      </c>
    </row>
    <row r="60" spans="1:9">
      <c r="A60" s="95"/>
      <c r="B60" s="96"/>
      <c r="C60" s="70" t="str">
        <f t="shared" si="0"/>
        <v/>
      </c>
      <c r="D60" s="68"/>
      <c r="E60" s="69"/>
      <c r="F60" s="70" t="str">
        <f t="shared" si="1"/>
        <v/>
      </c>
      <c r="G60" s="68"/>
      <c r="H60" s="69"/>
      <c r="I60" s="70" t="str">
        <f t="shared" si="2"/>
        <v/>
      </c>
    </row>
    <row r="61" spans="1:9">
      <c r="A61" s="95"/>
      <c r="B61" s="96"/>
      <c r="C61" s="70" t="str">
        <f t="shared" si="0"/>
        <v/>
      </c>
      <c r="D61" s="68"/>
      <c r="E61" s="69"/>
      <c r="F61" s="70" t="str">
        <f t="shared" si="1"/>
        <v/>
      </c>
      <c r="G61" s="68"/>
      <c r="H61" s="69"/>
      <c r="I61" s="70" t="str">
        <f t="shared" si="2"/>
        <v/>
      </c>
    </row>
    <row r="62" spans="1:9">
      <c r="A62" s="95"/>
      <c r="B62" s="96"/>
      <c r="C62" s="70" t="str">
        <f t="shared" si="0"/>
        <v/>
      </c>
      <c r="D62" s="68"/>
      <c r="E62" s="69"/>
      <c r="F62" s="70" t="str">
        <f t="shared" si="1"/>
        <v/>
      </c>
      <c r="G62" s="68"/>
      <c r="H62" s="69"/>
      <c r="I62" s="70" t="str">
        <f t="shared" si="2"/>
        <v/>
      </c>
    </row>
    <row r="63" spans="1:9">
      <c r="A63" s="95"/>
      <c r="B63" s="96"/>
      <c r="C63" s="70" t="str">
        <f t="shared" si="0"/>
        <v/>
      </c>
      <c r="D63" s="68"/>
      <c r="E63" s="69"/>
      <c r="F63" s="70" t="str">
        <f t="shared" si="1"/>
        <v/>
      </c>
      <c r="G63" s="68"/>
      <c r="H63" s="69"/>
      <c r="I63" s="70" t="str">
        <f t="shared" si="2"/>
        <v/>
      </c>
    </row>
    <row r="64" spans="1:9">
      <c r="A64" s="95"/>
      <c r="B64" s="96"/>
      <c r="C64" s="70" t="str">
        <f t="shared" si="0"/>
        <v/>
      </c>
      <c r="D64" s="68"/>
      <c r="E64" s="69"/>
      <c r="F64" s="70" t="str">
        <f t="shared" si="1"/>
        <v/>
      </c>
      <c r="G64" s="68"/>
      <c r="H64" s="69"/>
      <c r="I64" s="70" t="str">
        <f t="shared" si="2"/>
        <v/>
      </c>
    </row>
    <row r="65" spans="1:9">
      <c r="A65" s="95"/>
      <c r="B65" s="96"/>
      <c r="C65" s="70" t="str">
        <f t="shared" si="0"/>
        <v/>
      </c>
      <c r="D65" s="68"/>
      <c r="E65" s="69"/>
      <c r="F65" s="70" t="str">
        <f t="shared" si="1"/>
        <v/>
      </c>
      <c r="G65" s="68"/>
      <c r="H65" s="69"/>
      <c r="I65" s="70" t="str">
        <f t="shared" si="2"/>
        <v/>
      </c>
    </row>
    <row r="66" spans="1:9">
      <c r="A66" s="95"/>
      <c r="B66" s="96"/>
      <c r="C66" s="70" t="str">
        <f t="shared" si="0"/>
        <v/>
      </c>
      <c r="D66" s="68"/>
      <c r="E66" s="69"/>
      <c r="F66" s="70" t="str">
        <f t="shared" si="1"/>
        <v/>
      </c>
      <c r="G66" s="68"/>
      <c r="H66" s="69"/>
      <c r="I66" s="70" t="str">
        <f t="shared" si="2"/>
        <v/>
      </c>
    </row>
    <row r="67" spans="1:9">
      <c r="A67" s="95"/>
      <c r="B67" s="96"/>
      <c r="C67" s="70" t="str">
        <f t="shared" si="0"/>
        <v/>
      </c>
      <c r="D67" s="68"/>
      <c r="E67" s="69"/>
      <c r="F67" s="70" t="str">
        <f t="shared" si="1"/>
        <v/>
      </c>
      <c r="G67" s="68"/>
      <c r="H67" s="69"/>
      <c r="I67" s="70" t="str">
        <f t="shared" si="2"/>
        <v/>
      </c>
    </row>
    <row r="68" spans="1:9">
      <c r="A68" s="95"/>
      <c r="B68" s="96"/>
      <c r="C68" s="70" t="str">
        <f t="shared" si="0"/>
        <v/>
      </c>
      <c r="D68" s="68"/>
      <c r="E68" s="69"/>
      <c r="F68" s="70" t="str">
        <f t="shared" si="1"/>
        <v/>
      </c>
      <c r="G68" s="68"/>
      <c r="H68" s="69"/>
      <c r="I68" s="70" t="str">
        <f t="shared" si="2"/>
        <v/>
      </c>
    </row>
    <row r="69" spans="1:9">
      <c r="A69" s="95"/>
      <c r="B69" s="96"/>
      <c r="C69" s="70" t="str">
        <f t="shared" ref="C69:C132" si="3">IF(B69&gt;0,TEXT(B69,"(aaa)"),"")</f>
        <v/>
      </c>
      <c r="D69" s="68"/>
      <c r="E69" s="69"/>
      <c r="F69" s="70" t="str">
        <f t="shared" ref="F69:F132" si="4">IF(E69&gt;0,TEXT(E69,"(aaa)"),"")</f>
        <v/>
      </c>
      <c r="G69" s="68"/>
      <c r="H69" s="69"/>
      <c r="I69" s="70" t="str">
        <f t="shared" ref="I69:I132" si="5">IF(H69&gt;0,TEXT(H69,"(aaa)"),"")</f>
        <v/>
      </c>
    </row>
    <row r="70" spans="1:9">
      <c r="A70" s="95"/>
      <c r="B70" s="96"/>
      <c r="C70" s="70" t="str">
        <f t="shared" si="3"/>
        <v/>
      </c>
      <c r="D70" s="68"/>
      <c r="E70" s="69"/>
      <c r="F70" s="70" t="str">
        <f t="shared" si="4"/>
        <v/>
      </c>
      <c r="G70" s="68"/>
      <c r="H70" s="69"/>
      <c r="I70" s="70" t="str">
        <f t="shared" si="5"/>
        <v/>
      </c>
    </row>
    <row r="71" spans="1:9">
      <c r="A71" s="95"/>
      <c r="B71" s="96"/>
      <c r="C71" s="70" t="str">
        <f t="shared" si="3"/>
        <v/>
      </c>
      <c r="D71" s="68"/>
      <c r="E71" s="69"/>
      <c r="F71" s="70" t="str">
        <f t="shared" si="4"/>
        <v/>
      </c>
      <c r="G71" s="68"/>
      <c r="H71" s="69"/>
      <c r="I71" s="70" t="str">
        <f t="shared" si="5"/>
        <v/>
      </c>
    </row>
    <row r="72" spans="1:9">
      <c r="A72" s="95"/>
      <c r="B72" s="96"/>
      <c r="C72" s="70" t="str">
        <f t="shared" si="3"/>
        <v/>
      </c>
      <c r="D72" s="68"/>
      <c r="E72" s="69"/>
      <c r="F72" s="70" t="str">
        <f t="shared" si="4"/>
        <v/>
      </c>
      <c r="G72" s="68"/>
      <c r="H72" s="69"/>
      <c r="I72" s="70" t="str">
        <f t="shared" si="5"/>
        <v/>
      </c>
    </row>
    <row r="73" spans="1:9">
      <c r="A73" s="95"/>
      <c r="B73" s="96"/>
      <c r="C73" s="70" t="str">
        <f t="shared" si="3"/>
        <v/>
      </c>
      <c r="D73" s="68"/>
      <c r="E73" s="69"/>
      <c r="F73" s="70" t="str">
        <f t="shared" si="4"/>
        <v/>
      </c>
      <c r="G73" s="68"/>
      <c r="H73" s="69"/>
      <c r="I73" s="70" t="str">
        <f t="shared" si="5"/>
        <v/>
      </c>
    </row>
    <row r="74" spans="1:9">
      <c r="A74" s="95"/>
      <c r="B74" s="96"/>
      <c r="C74" s="70" t="str">
        <f t="shared" si="3"/>
        <v/>
      </c>
      <c r="D74" s="68"/>
      <c r="E74" s="69"/>
      <c r="F74" s="70" t="str">
        <f t="shared" si="4"/>
        <v/>
      </c>
      <c r="G74" s="68"/>
      <c r="H74" s="69"/>
      <c r="I74" s="70" t="str">
        <f t="shared" si="5"/>
        <v/>
      </c>
    </row>
    <row r="75" spans="1:9">
      <c r="A75" s="95"/>
      <c r="B75" s="96"/>
      <c r="C75" s="70" t="str">
        <f t="shared" si="3"/>
        <v/>
      </c>
      <c r="D75" s="68"/>
      <c r="E75" s="69"/>
      <c r="F75" s="70" t="str">
        <f t="shared" si="4"/>
        <v/>
      </c>
      <c r="G75" s="68"/>
      <c r="H75" s="69"/>
      <c r="I75" s="70" t="str">
        <f t="shared" si="5"/>
        <v/>
      </c>
    </row>
    <row r="76" spans="1:9">
      <c r="A76" s="95"/>
      <c r="B76" s="96"/>
      <c r="C76" s="70" t="str">
        <f t="shared" si="3"/>
        <v/>
      </c>
      <c r="D76" s="68"/>
      <c r="E76" s="69"/>
      <c r="F76" s="70" t="str">
        <f t="shared" si="4"/>
        <v/>
      </c>
      <c r="G76" s="68"/>
      <c r="H76" s="69"/>
      <c r="I76" s="70" t="str">
        <f t="shared" si="5"/>
        <v/>
      </c>
    </row>
    <row r="77" spans="1:9">
      <c r="A77" s="95"/>
      <c r="B77" s="96"/>
      <c r="C77" s="70" t="str">
        <f t="shared" si="3"/>
        <v/>
      </c>
      <c r="D77" s="68"/>
      <c r="E77" s="69"/>
      <c r="F77" s="70" t="str">
        <f t="shared" si="4"/>
        <v/>
      </c>
      <c r="G77" s="68"/>
      <c r="H77" s="69"/>
      <c r="I77" s="70" t="str">
        <f t="shared" si="5"/>
        <v/>
      </c>
    </row>
    <row r="78" spans="1:9">
      <c r="A78" s="95"/>
      <c r="B78" s="96"/>
      <c r="C78" s="70" t="str">
        <f t="shared" si="3"/>
        <v/>
      </c>
      <c r="D78" s="68"/>
      <c r="E78" s="69"/>
      <c r="F78" s="70" t="str">
        <f t="shared" si="4"/>
        <v/>
      </c>
      <c r="G78" s="68"/>
      <c r="H78" s="69"/>
      <c r="I78" s="70" t="str">
        <f t="shared" si="5"/>
        <v/>
      </c>
    </row>
    <row r="79" spans="1:9">
      <c r="A79" s="95"/>
      <c r="B79" s="96"/>
      <c r="C79" s="70" t="str">
        <f t="shared" si="3"/>
        <v/>
      </c>
      <c r="D79" s="68"/>
      <c r="E79" s="69"/>
      <c r="F79" s="70" t="str">
        <f t="shared" si="4"/>
        <v/>
      </c>
      <c r="G79" s="68"/>
      <c r="H79" s="69"/>
      <c r="I79" s="70" t="str">
        <f t="shared" si="5"/>
        <v/>
      </c>
    </row>
    <row r="80" spans="1:9">
      <c r="A80" s="95"/>
      <c r="B80" s="96"/>
      <c r="C80" s="70" t="str">
        <f t="shared" si="3"/>
        <v/>
      </c>
      <c r="D80" s="68"/>
      <c r="E80" s="69"/>
      <c r="F80" s="70" t="str">
        <f t="shared" si="4"/>
        <v/>
      </c>
      <c r="G80" s="68"/>
      <c r="H80" s="69"/>
      <c r="I80" s="70" t="str">
        <f t="shared" si="5"/>
        <v/>
      </c>
    </row>
    <row r="81" spans="1:9">
      <c r="A81" s="95"/>
      <c r="B81" s="96"/>
      <c r="C81" s="70" t="str">
        <f t="shared" si="3"/>
        <v/>
      </c>
      <c r="D81" s="68"/>
      <c r="E81" s="69"/>
      <c r="F81" s="70" t="str">
        <f t="shared" si="4"/>
        <v/>
      </c>
      <c r="G81" s="68"/>
      <c r="H81" s="69"/>
      <c r="I81" s="70" t="str">
        <f t="shared" si="5"/>
        <v/>
      </c>
    </row>
    <row r="82" spans="1:9">
      <c r="A82" s="95"/>
      <c r="B82" s="96"/>
      <c r="C82" s="70" t="str">
        <f t="shared" si="3"/>
        <v/>
      </c>
      <c r="D82" s="68"/>
      <c r="E82" s="69"/>
      <c r="F82" s="70" t="str">
        <f t="shared" si="4"/>
        <v/>
      </c>
      <c r="G82" s="68"/>
      <c r="H82" s="69"/>
      <c r="I82" s="70" t="str">
        <f t="shared" si="5"/>
        <v/>
      </c>
    </row>
    <row r="83" spans="1:9">
      <c r="A83" s="95"/>
      <c r="B83" s="96"/>
      <c r="C83" s="70" t="str">
        <f t="shared" si="3"/>
        <v/>
      </c>
      <c r="D83" s="68"/>
      <c r="E83" s="69"/>
      <c r="F83" s="70" t="str">
        <f t="shared" si="4"/>
        <v/>
      </c>
      <c r="G83" s="68"/>
      <c r="H83" s="69"/>
      <c r="I83" s="70" t="str">
        <f t="shared" si="5"/>
        <v/>
      </c>
    </row>
    <row r="84" spans="1:9">
      <c r="A84" s="95"/>
      <c r="B84" s="96"/>
      <c r="C84" s="70" t="str">
        <f t="shared" si="3"/>
        <v/>
      </c>
      <c r="D84" s="68"/>
      <c r="E84" s="69"/>
      <c r="F84" s="70" t="str">
        <f t="shared" si="4"/>
        <v/>
      </c>
      <c r="G84" s="68"/>
      <c r="H84" s="69"/>
      <c r="I84" s="70" t="str">
        <f t="shared" si="5"/>
        <v/>
      </c>
    </row>
    <row r="85" spans="1:9">
      <c r="A85" s="95"/>
      <c r="B85" s="96"/>
      <c r="C85" s="70" t="str">
        <f t="shared" si="3"/>
        <v/>
      </c>
      <c r="D85" s="68"/>
      <c r="E85" s="69"/>
      <c r="F85" s="70" t="str">
        <f t="shared" si="4"/>
        <v/>
      </c>
      <c r="G85" s="68"/>
      <c r="H85" s="69"/>
      <c r="I85" s="70" t="str">
        <f t="shared" si="5"/>
        <v/>
      </c>
    </row>
    <row r="86" spans="1:9">
      <c r="A86" s="95"/>
      <c r="B86" s="96"/>
      <c r="C86" s="70" t="str">
        <f t="shared" si="3"/>
        <v/>
      </c>
      <c r="D86" s="68"/>
      <c r="E86" s="69"/>
      <c r="F86" s="70" t="str">
        <f t="shared" si="4"/>
        <v/>
      </c>
      <c r="G86" s="68"/>
      <c r="H86" s="69"/>
      <c r="I86" s="70" t="str">
        <f t="shared" si="5"/>
        <v/>
      </c>
    </row>
    <row r="87" spans="1:9">
      <c r="A87" s="95"/>
      <c r="B87" s="96"/>
      <c r="C87" s="70" t="str">
        <f t="shared" si="3"/>
        <v/>
      </c>
      <c r="D87" s="68"/>
      <c r="E87" s="69"/>
      <c r="F87" s="70" t="str">
        <f t="shared" si="4"/>
        <v/>
      </c>
      <c r="G87" s="68"/>
      <c r="H87" s="69"/>
      <c r="I87" s="70" t="str">
        <f t="shared" si="5"/>
        <v/>
      </c>
    </row>
    <row r="88" spans="1:9">
      <c r="A88" s="95"/>
      <c r="B88" s="96"/>
      <c r="C88" s="70" t="str">
        <f t="shared" si="3"/>
        <v/>
      </c>
      <c r="D88" s="68"/>
      <c r="E88" s="69"/>
      <c r="F88" s="70" t="str">
        <f t="shared" si="4"/>
        <v/>
      </c>
      <c r="G88" s="68"/>
      <c r="H88" s="69"/>
      <c r="I88" s="70" t="str">
        <f t="shared" si="5"/>
        <v/>
      </c>
    </row>
    <row r="89" spans="1:9">
      <c r="A89" s="95"/>
      <c r="B89" s="96"/>
      <c r="C89" s="70" t="str">
        <f t="shared" si="3"/>
        <v/>
      </c>
      <c r="D89" s="68"/>
      <c r="E89" s="69"/>
      <c r="F89" s="70" t="str">
        <f t="shared" si="4"/>
        <v/>
      </c>
      <c r="G89" s="68"/>
      <c r="H89" s="69"/>
      <c r="I89" s="70" t="str">
        <f t="shared" si="5"/>
        <v/>
      </c>
    </row>
    <row r="90" spans="1:9">
      <c r="A90" s="95"/>
      <c r="B90" s="96"/>
      <c r="C90" s="70" t="str">
        <f t="shared" si="3"/>
        <v/>
      </c>
      <c r="D90" s="68"/>
      <c r="E90" s="69"/>
      <c r="F90" s="70" t="str">
        <f t="shared" si="4"/>
        <v/>
      </c>
      <c r="G90" s="68"/>
      <c r="H90" s="69"/>
      <c r="I90" s="70" t="str">
        <f t="shared" si="5"/>
        <v/>
      </c>
    </row>
    <row r="91" spans="1:9">
      <c r="A91" s="95"/>
      <c r="B91" s="96"/>
      <c r="C91" s="70" t="str">
        <f t="shared" si="3"/>
        <v/>
      </c>
      <c r="D91" s="68"/>
      <c r="E91" s="69"/>
      <c r="F91" s="70" t="str">
        <f t="shared" si="4"/>
        <v/>
      </c>
      <c r="G91" s="68"/>
      <c r="H91" s="69"/>
      <c r="I91" s="70" t="str">
        <f t="shared" si="5"/>
        <v/>
      </c>
    </row>
    <row r="92" spans="1:9">
      <c r="A92" s="95"/>
      <c r="B92" s="96"/>
      <c r="C92" s="70" t="str">
        <f t="shared" si="3"/>
        <v/>
      </c>
      <c r="D92" s="68"/>
      <c r="E92" s="69"/>
      <c r="F92" s="70" t="str">
        <f t="shared" si="4"/>
        <v/>
      </c>
      <c r="G92" s="68"/>
      <c r="H92" s="69"/>
      <c r="I92" s="70" t="str">
        <f t="shared" si="5"/>
        <v/>
      </c>
    </row>
    <row r="93" spans="1:9">
      <c r="A93" s="95"/>
      <c r="B93" s="96"/>
      <c r="C93" s="70" t="str">
        <f t="shared" si="3"/>
        <v/>
      </c>
      <c r="D93" s="68"/>
      <c r="E93" s="69"/>
      <c r="F93" s="70" t="str">
        <f t="shared" si="4"/>
        <v/>
      </c>
      <c r="G93" s="68"/>
      <c r="H93" s="69"/>
      <c r="I93" s="70" t="str">
        <f t="shared" si="5"/>
        <v/>
      </c>
    </row>
    <row r="94" spans="1:9">
      <c r="A94" s="95"/>
      <c r="B94" s="96"/>
      <c r="C94" s="70" t="str">
        <f t="shared" si="3"/>
        <v/>
      </c>
      <c r="D94" s="68"/>
      <c r="E94" s="69"/>
      <c r="F94" s="70" t="str">
        <f t="shared" si="4"/>
        <v/>
      </c>
      <c r="G94" s="68"/>
      <c r="H94" s="69"/>
      <c r="I94" s="70" t="str">
        <f t="shared" si="5"/>
        <v/>
      </c>
    </row>
    <row r="95" spans="1:9">
      <c r="A95" s="95"/>
      <c r="B95" s="96"/>
      <c r="C95" s="70" t="str">
        <f t="shared" si="3"/>
        <v/>
      </c>
      <c r="D95" s="68"/>
      <c r="E95" s="69"/>
      <c r="F95" s="70" t="str">
        <f t="shared" si="4"/>
        <v/>
      </c>
      <c r="G95" s="68"/>
      <c r="H95" s="69"/>
      <c r="I95" s="70" t="str">
        <f t="shared" si="5"/>
        <v/>
      </c>
    </row>
    <row r="96" spans="1:9">
      <c r="A96" s="95"/>
      <c r="B96" s="96"/>
      <c r="C96" s="70" t="str">
        <f t="shared" si="3"/>
        <v/>
      </c>
      <c r="D96" s="68"/>
      <c r="E96" s="69"/>
      <c r="F96" s="70" t="str">
        <f t="shared" si="4"/>
        <v/>
      </c>
      <c r="G96" s="68"/>
      <c r="H96" s="69"/>
      <c r="I96" s="70" t="str">
        <f t="shared" si="5"/>
        <v/>
      </c>
    </row>
    <row r="97" spans="1:9">
      <c r="A97" s="95"/>
      <c r="B97" s="96"/>
      <c r="C97" s="70" t="str">
        <f t="shared" si="3"/>
        <v/>
      </c>
      <c r="D97" s="68"/>
      <c r="E97" s="69"/>
      <c r="F97" s="70" t="str">
        <f t="shared" si="4"/>
        <v/>
      </c>
      <c r="G97" s="68"/>
      <c r="H97" s="69"/>
      <c r="I97" s="70" t="str">
        <f t="shared" si="5"/>
        <v/>
      </c>
    </row>
    <row r="98" spans="1:9">
      <c r="A98" s="95"/>
      <c r="B98" s="96"/>
      <c r="C98" s="70" t="str">
        <f t="shared" si="3"/>
        <v/>
      </c>
      <c r="D98" s="68"/>
      <c r="E98" s="69"/>
      <c r="F98" s="70" t="str">
        <f t="shared" si="4"/>
        <v/>
      </c>
      <c r="G98" s="68"/>
      <c r="H98" s="69"/>
      <c r="I98" s="70" t="str">
        <f t="shared" si="5"/>
        <v/>
      </c>
    </row>
    <row r="99" spans="1:9">
      <c r="A99" s="95"/>
      <c r="B99" s="96"/>
      <c r="C99" s="70" t="str">
        <f t="shared" si="3"/>
        <v/>
      </c>
      <c r="D99" s="68"/>
      <c r="E99" s="69"/>
      <c r="F99" s="70" t="str">
        <f t="shared" si="4"/>
        <v/>
      </c>
      <c r="G99" s="68"/>
      <c r="H99" s="69"/>
      <c r="I99" s="70" t="str">
        <f t="shared" si="5"/>
        <v/>
      </c>
    </row>
    <row r="100" spans="1:9">
      <c r="A100" s="95"/>
      <c r="B100" s="96"/>
      <c r="C100" s="70" t="str">
        <f t="shared" si="3"/>
        <v/>
      </c>
      <c r="D100" s="68"/>
      <c r="E100" s="69"/>
      <c r="F100" s="70" t="str">
        <f t="shared" si="4"/>
        <v/>
      </c>
      <c r="G100" s="68"/>
      <c r="H100" s="69"/>
      <c r="I100" s="70" t="str">
        <f t="shared" si="5"/>
        <v/>
      </c>
    </row>
    <row r="101" spans="1:9">
      <c r="A101" s="95"/>
      <c r="B101" s="96"/>
      <c r="C101" s="70" t="str">
        <f t="shared" si="3"/>
        <v/>
      </c>
      <c r="D101" s="68"/>
      <c r="E101" s="69"/>
      <c r="F101" s="70" t="str">
        <f t="shared" si="4"/>
        <v/>
      </c>
      <c r="G101" s="68"/>
      <c r="H101" s="69"/>
      <c r="I101" s="70" t="str">
        <f t="shared" si="5"/>
        <v/>
      </c>
    </row>
    <row r="102" spans="1:9">
      <c r="A102" s="95"/>
      <c r="B102" s="96"/>
      <c r="C102" s="70" t="str">
        <f t="shared" si="3"/>
        <v/>
      </c>
      <c r="D102" s="68"/>
      <c r="E102" s="69"/>
      <c r="F102" s="70" t="str">
        <f t="shared" si="4"/>
        <v/>
      </c>
      <c r="G102" s="68"/>
      <c r="H102" s="69"/>
      <c r="I102" s="70" t="str">
        <f t="shared" si="5"/>
        <v/>
      </c>
    </row>
    <row r="103" spans="1:9">
      <c r="A103" s="95"/>
      <c r="B103" s="96"/>
      <c r="C103" s="70" t="str">
        <f t="shared" si="3"/>
        <v/>
      </c>
      <c r="D103" s="68"/>
      <c r="E103" s="69"/>
      <c r="F103" s="70" t="str">
        <f t="shared" si="4"/>
        <v/>
      </c>
      <c r="G103" s="68"/>
      <c r="H103" s="69"/>
      <c r="I103" s="70" t="str">
        <f t="shared" si="5"/>
        <v/>
      </c>
    </row>
    <row r="104" spans="1:9">
      <c r="A104" s="95"/>
      <c r="B104" s="96"/>
      <c r="C104" s="70" t="str">
        <f t="shared" si="3"/>
        <v/>
      </c>
      <c r="D104" s="68"/>
      <c r="E104" s="69"/>
      <c r="F104" s="70" t="str">
        <f t="shared" si="4"/>
        <v/>
      </c>
      <c r="G104" s="68"/>
      <c r="H104" s="69"/>
      <c r="I104" s="70" t="str">
        <f t="shared" si="5"/>
        <v/>
      </c>
    </row>
    <row r="105" spans="1:9">
      <c r="A105" s="95"/>
      <c r="B105" s="96"/>
      <c r="C105" s="70" t="str">
        <f t="shared" si="3"/>
        <v/>
      </c>
      <c r="D105" s="68"/>
      <c r="E105" s="69"/>
      <c r="F105" s="70" t="str">
        <f t="shared" si="4"/>
        <v/>
      </c>
      <c r="G105" s="68"/>
      <c r="H105" s="69"/>
      <c r="I105" s="70" t="str">
        <f t="shared" si="5"/>
        <v/>
      </c>
    </row>
    <row r="106" spans="1:9">
      <c r="A106" s="95"/>
      <c r="B106" s="96"/>
      <c r="C106" s="70" t="str">
        <f t="shared" si="3"/>
        <v/>
      </c>
      <c r="D106" s="68"/>
      <c r="E106" s="69"/>
      <c r="F106" s="70" t="str">
        <f t="shared" si="4"/>
        <v/>
      </c>
      <c r="G106" s="68"/>
      <c r="H106" s="69"/>
      <c r="I106" s="70" t="str">
        <f t="shared" si="5"/>
        <v/>
      </c>
    </row>
    <row r="107" spans="1:9">
      <c r="A107" s="95"/>
      <c r="B107" s="96"/>
      <c r="C107" s="70" t="str">
        <f t="shared" si="3"/>
        <v/>
      </c>
      <c r="D107" s="68"/>
      <c r="E107" s="69"/>
      <c r="F107" s="70" t="str">
        <f t="shared" si="4"/>
        <v/>
      </c>
      <c r="G107" s="68"/>
      <c r="H107" s="69"/>
      <c r="I107" s="70" t="str">
        <f t="shared" si="5"/>
        <v/>
      </c>
    </row>
    <row r="108" spans="1:9">
      <c r="A108" s="95"/>
      <c r="B108" s="96"/>
      <c r="C108" s="70" t="str">
        <f t="shared" si="3"/>
        <v/>
      </c>
      <c r="D108" s="68"/>
      <c r="E108" s="69"/>
      <c r="F108" s="70" t="str">
        <f t="shared" si="4"/>
        <v/>
      </c>
      <c r="G108" s="68"/>
      <c r="H108" s="69"/>
      <c r="I108" s="70" t="str">
        <f t="shared" si="5"/>
        <v/>
      </c>
    </row>
    <row r="109" spans="1:9">
      <c r="A109" s="95"/>
      <c r="B109" s="96"/>
      <c r="C109" s="70" t="str">
        <f t="shared" si="3"/>
        <v/>
      </c>
      <c r="D109" s="68"/>
      <c r="E109" s="69"/>
      <c r="F109" s="70" t="str">
        <f t="shared" si="4"/>
        <v/>
      </c>
      <c r="G109" s="68"/>
      <c r="H109" s="69"/>
      <c r="I109" s="70" t="str">
        <f t="shared" si="5"/>
        <v/>
      </c>
    </row>
    <row r="110" spans="1:9">
      <c r="A110" s="95"/>
      <c r="B110" s="96"/>
      <c r="C110" s="70" t="str">
        <f t="shared" si="3"/>
        <v/>
      </c>
      <c r="D110" s="68"/>
      <c r="E110" s="69"/>
      <c r="F110" s="70" t="str">
        <f t="shared" si="4"/>
        <v/>
      </c>
      <c r="G110" s="68"/>
      <c r="H110" s="69"/>
      <c r="I110" s="70" t="str">
        <f t="shared" si="5"/>
        <v/>
      </c>
    </row>
    <row r="111" spans="1:9">
      <c r="A111" s="95"/>
      <c r="B111" s="96"/>
      <c r="C111" s="70" t="str">
        <f t="shared" si="3"/>
        <v/>
      </c>
      <c r="D111" s="68"/>
      <c r="E111" s="69"/>
      <c r="F111" s="70" t="str">
        <f t="shared" si="4"/>
        <v/>
      </c>
      <c r="G111" s="68"/>
      <c r="H111" s="69"/>
      <c r="I111" s="70" t="str">
        <f t="shared" si="5"/>
        <v/>
      </c>
    </row>
    <row r="112" spans="1:9">
      <c r="A112" s="95"/>
      <c r="B112" s="96"/>
      <c r="C112" s="70" t="str">
        <f t="shared" si="3"/>
        <v/>
      </c>
      <c r="D112" s="68"/>
      <c r="E112" s="69"/>
      <c r="F112" s="70" t="str">
        <f t="shared" si="4"/>
        <v/>
      </c>
      <c r="G112" s="68"/>
      <c r="H112" s="69"/>
      <c r="I112" s="70" t="str">
        <f t="shared" si="5"/>
        <v/>
      </c>
    </row>
    <row r="113" spans="1:9">
      <c r="A113" s="95"/>
      <c r="B113" s="96"/>
      <c r="C113" s="70" t="str">
        <f t="shared" si="3"/>
        <v/>
      </c>
      <c r="D113" s="68"/>
      <c r="E113" s="69"/>
      <c r="F113" s="70" t="str">
        <f t="shared" si="4"/>
        <v/>
      </c>
      <c r="G113" s="68"/>
      <c r="H113" s="69"/>
      <c r="I113" s="70" t="str">
        <f t="shared" si="5"/>
        <v/>
      </c>
    </row>
    <row r="114" spans="1:9">
      <c r="A114" s="95"/>
      <c r="B114" s="96"/>
      <c r="C114" s="70" t="str">
        <f t="shared" si="3"/>
        <v/>
      </c>
      <c r="D114" s="68"/>
      <c r="E114" s="69"/>
      <c r="F114" s="70" t="str">
        <f t="shared" si="4"/>
        <v/>
      </c>
      <c r="G114" s="68"/>
      <c r="H114" s="69"/>
      <c r="I114" s="70" t="str">
        <f t="shared" si="5"/>
        <v/>
      </c>
    </row>
    <row r="115" spans="1:9">
      <c r="A115" s="95"/>
      <c r="B115" s="96"/>
      <c r="C115" s="70" t="str">
        <f t="shared" si="3"/>
        <v/>
      </c>
      <c r="D115" s="68"/>
      <c r="E115" s="69"/>
      <c r="F115" s="70" t="str">
        <f t="shared" si="4"/>
        <v/>
      </c>
      <c r="G115" s="68"/>
      <c r="H115" s="69"/>
      <c r="I115" s="70" t="str">
        <f t="shared" si="5"/>
        <v/>
      </c>
    </row>
    <row r="116" spans="1:9">
      <c r="A116" s="95"/>
      <c r="B116" s="96"/>
      <c r="C116" s="70" t="str">
        <f t="shared" si="3"/>
        <v/>
      </c>
      <c r="D116" s="68"/>
      <c r="E116" s="69"/>
      <c r="F116" s="70" t="str">
        <f t="shared" si="4"/>
        <v/>
      </c>
      <c r="G116" s="68"/>
      <c r="H116" s="69"/>
      <c r="I116" s="70" t="str">
        <f t="shared" si="5"/>
        <v/>
      </c>
    </row>
    <row r="117" spans="1:9">
      <c r="A117" s="95"/>
      <c r="B117" s="96"/>
      <c r="C117" s="70" t="str">
        <f t="shared" si="3"/>
        <v/>
      </c>
      <c r="D117" s="68"/>
      <c r="E117" s="69"/>
      <c r="F117" s="70" t="str">
        <f t="shared" si="4"/>
        <v/>
      </c>
      <c r="G117" s="68"/>
      <c r="H117" s="69"/>
      <c r="I117" s="70" t="str">
        <f t="shared" si="5"/>
        <v/>
      </c>
    </row>
    <row r="118" spans="1:9">
      <c r="A118" s="95"/>
      <c r="B118" s="96"/>
      <c r="C118" s="70" t="str">
        <f t="shared" si="3"/>
        <v/>
      </c>
      <c r="D118" s="68"/>
      <c r="E118" s="69"/>
      <c r="F118" s="70" t="str">
        <f t="shared" si="4"/>
        <v/>
      </c>
      <c r="G118" s="68"/>
      <c r="H118" s="69"/>
      <c r="I118" s="70" t="str">
        <f t="shared" si="5"/>
        <v/>
      </c>
    </row>
    <row r="119" spans="1:9">
      <c r="A119" s="95"/>
      <c r="B119" s="96"/>
      <c r="C119" s="70" t="str">
        <f t="shared" si="3"/>
        <v/>
      </c>
      <c r="D119" s="68"/>
      <c r="E119" s="69"/>
      <c r="F119" s="70" t="str">
        <f t="shared" si="4"/>
        <v/>
      </c>
      <c r="G119" s="68"/>
      <c r="H119" s="69"/>
      <c r="I119" s="70" t="str">
        <f t="shared" si="5"/>
        <v/>
      </c>
    </row>
    <row r="120" spans="1:9">
      <c r="A120" s="95"/>
      <c r="B120" s="96"/>
      <c r="C120" s="70" t="str">
        <f t="shared" si="3"/>
        <v/>
      </c>
      <c r="D120" s="68"/>
      <c r="E120" s="69"/>
      <c r="F120" s="70" t="str">
        <f t="shared" si="4"/>
        <v/>
      </c>
      <c r="G120" s="68"/>
      <c r="H120" s="69"/>
      <c r="I120" s="70" t="str">
        <f t="shared" si="5"/>
        <v/>
      </c>
    </row>
    <row r="121" spans="1:9">
      <c r="A121" s="95"/>
      <c r="B121" s="96"/>
      <c r="C121" s="70" t="str">
        <f t="shared" si="3"/>
        <v/>
      </c>
      <c r="D121" s="68"/>
      <c r="E121" s="69"/>
      <c r="F121" s="70" t="str">
        <f t="shared" si="4"/>
        <v/>
      </c>
      <c r="G121" s="68"/>
      <c r="H121" s="69"/>
      <c r="I121" s="70" t="str">
        <f t="shared" si="5"/>
        <v/>
      </c>
    </row>
    <row r="122" spans="1:9">
      <c r="A122" s="95"/>
      <c r="B122" s="96"/>
      <c r="C122" s="70" t="str">
        <f t="shared" si="3"/>
        <v/>
      </c>
      <c r="D122" s="68"/>
      <c r="E122" s="69"/>
      <c r="F122" s="70" t="str">
        <f t="shared" si="4"/>
        <v/>
      </c>
      <c r="G122" s="68"/>
      <c r="H122" s="69"/>
      <c r="I122" s="70" t="str">
        <f t="shared" si="5"/>
        <v/>
      </c>
    </row>
    <row r="123" spans="1:9">
      <c r="A123" s="95"/>
      <c r="B123" s="97"/>
      <c r="C123" s="70" t="str">
        <f t="shared" si="3"/>
        <v/>
      </c>
      <c r="D123" s="68"/>
      <c r="E123" s="69"/>
      <c r="F123" s="70" t="str">
        <f t="shared" si="4"/>
        <v/>
      </c>
      <c r="G123" s="68"/>
      <c r="H123" s="69"/>
      <c r="I123" s="70" t="str">
        <f t="shared" si="5"/>
        <v/>
      </c>
    </row>
    <row r="124" spans="1:9">
      <c r="A124" s="95"/>
      <c r="B124" s="96"/>
      <c r="C124" s="70" t="str">
        <f t="shared" si="3"/>
        <v/>
      </c>
      <c r="D124" s="68"/>
      <c r="E124" s="69"/>
      <c r="F124" s="70" t="str">
        <f t="shared" si="4"/>
        <v/>
      </c>
      <c r="G124" s="68"/>
      <c r="H124" s="69"/>
      <c r="I124" s="70" t="str">
        <f t="shared" si="5"/>
        <v/>
      </c>
    </row>
    <row r="125" spans="1:9">
      <c r="A125" s="95"/>
      <c r="B125" s="96"/>
      <c r="C125" s="70" t="str">
        <f t="shared" si="3"/>
        <v/>
      </c>
      <c r="D125" s="68"/>
      <c r="E125" s="69"/>
      <c r="F125" s="70" t="str">
        <f t="shared" si="4"/>
        <v/>
      </c>
      <c r="G125" s="68"/>
      <c r="H125" s="69"/>
      <c r="I125" s="70" t="str">
        <f t="shared" si="5"/>
        <v/>
      </c>
    </row>
    <row r="126" spans="1:9">
      <c r="A126" s="95"/>
      <c r="B126" s="96"/>
      <c r="C126" s="70" t="str">
        <f t="shared" si="3"/>
        <v/>
      </c>
      <c r="D126" s="68"/>
      <c r="E126" s="69"/>
      <c r="F126" s="70" t="str">
        <f t="shared" si="4"/>
        <v/>
      </c>
      <c r="G126" s="68"/>
      <c r="H126" s="69"/>
      <c r="I126" s="70" t="str">
        <f t="shared" si="5"/>
        <v/>
      </c>
    </row>
    <row r="127" spans="1:9">
      <c r="A127" s="95"/>
      <c r="B127" s="96"/>
      <c r="C127" s="70" t="str">
        <f t="shared" si="3"/>
        <v/>
      </c>
      <c r="D127" s="68"/>
      <c r="E127" s="69"/>
      <c r="F127" s="70" t="str">
        <f t="shared" si="4"/>
        <v/>
      </c>
      <c r="G127" s="68"/>
      <c r="H127" s="69"/>
      <c r="I127" s="70" t="str">
        <f t="shared" si="5"/>
        <v/>
      </c>
    </row>
    <row r="128" spans="1:9">
      <c r="A128" s="95"/>
      <c r="B128" s="96"/>
      <c r="C128" s="70" t="str">
        <f t="shared" si="3"/>
        <v/>
      </c>
      <c r="D128" s="68"/>
      <c r="E128" s="69"/>
      <c r="F128" s="70" t="str">
        <f t="shared" si="4"/>
        <v/>
      </c>
      <c r="G128" s="68"/>
      <c r="H128" s="69"/>
      <c r="I128" s="70" t="str">
        <f t="shared" si="5"/>
        <v/>
      </c>
    </row>
    <row r="129" spans="1:9">
      <c r="A129" s="95"/>
      <c r="B129" s="96"/>
      <c r="C129" s="70" t="str">
        <f t="shared" si="3"/>
        <v/>
      </c>
      <c r="D129" s="68"/>
      <c r="E129" s="69"/>
      <c r="F129" s="70" t="str">
        <f t="shared" si="4"/>
        <v/>
      </c>
      <c r="G129" s="68"/>
      <c r="H129" s="69"/>
      <c r="I129" s="70" t="str">
        <f t="shared" si="5"/>
        <v/>
      </c>
    </row>
    <row r="130" spans="1:9">
      <c r="A130" s="95"/>
      <c r="B130" s="96"/>
      <c r="C130" s="70" t="str">
        <f t="shared" si="3"/>
        <v/>
      </c>
      <c r="D130" s="68"/>
      <c r="E130" s="69"/>
      <c r="F130" s="70" t="str">
        <f t="shared" si="4"/>
        <v/>
      </c>
      <c r="G130" s="68"/>
      <c r="H130" s="69"/>
      <c r="I130" s="70" t="str">
        <f t="shared" si="5"/>
        <v/>
      </c>
    </row>
    <row r="131" spans="1:9">
      <c r="A131" s="95"/>
      <c r="B131" s="96"/>
      <c r="C131" s="70" t="str">
        <f t="shared" si="3"/>
        <v/>
      </c>
      <c r="D131" s="68"/>
      <c r="E131" s="69"/>
      <c r="F131" s="70" t="str">
        <f t="shared" si="4"/>
        <v/>
      </c>
      <c r="G131" s="68"/>
      <c r="H131" s="69"/>
      <c r="I131" s="70" t="str">
        <f t="shared" si="5"/>
        <v/>
      </c>
    </row>
    <row r="132" spans="1:9">
      <c r="A132" s="95"/>
      <c r="B132" s="96"/>
      <c r="C132" s="70" t="str">
        <f t="shared" si="3"/>
        <v/>
      </c>
      <c r="D132" s="68"/>
      <c r="E132" s="69"/>
      <c r="F132" s="70" t="str">
        <f t="shared" si="4"/>
        <v/>
      </c>
      <c r="G132" s="68"/>
      <c r="H132" s="69"/>
      <c r="I132" s="70" t="str">
        <f t="shared" si="5"/>
        <v/>
      </c>
    </row>
    <row r="133" spans="1:9">
      <c r="A133" s="95"/>
      <c r="B133" s="96"/>
      <c r="C133" s="70" t="str">
        <f t="shared" ref="C133:C196" si="6">IF(B133&gt;0,TEXT(B133,"(aaa)"),"")</f>
        <v/>
      </c>
      <c r="D133" s="68"/>
      <c r="E133" s="69"/>
      <c r="F133" s="70" t="str">
        <f t="shared" ref="F133:F196" si="7">IF(E133&gt;0,TEXT(E133,"(aaa)"),"")</f>
        <v/>
      </c>
      <c r="G133" s="68"/>
      <c r="H133" s="69"/>
      <c r="I133" s="70" t="str">
        <f t="shared" ref="I133:I196" si="8">IF(H133&gt;0,TEXT(H133,"(aaa)"),"")</f>
        <v/>
      </c>
    </row>
    <row r="134" spans="1:9">
      <c r="A134" s="95"/>
      <c r="B134" s="96"/>
      <c r="C134" s="70" t="str">
        <f t="shared" si="6"/>
        <v/>
      </c>
      <c r="D134" s="68"/>
      <c r="E134" s="69"/>
      <c r="F134" s="70" t="str">
        <f t="shared" si="7"/>
        <v/>
      </c>
      <c r="G134" s="68"/>
      <c r="H134" s="69"/>
      <c r="I134" s="70" t="str">
        <f t="shared" si="8"/>
        <v/>
      </c>
    </row>
    <row r="135" spans="1:9">
      <c r="A135" s="95"/>
      <c r="B135" s="96"/>
      <c r="C135" s="70" t="str">
        <f t="shared" si="6"/>
        <v/>
      </c>
      <c r="D135" s="68"/>
      <c r="E135" s="69"/>
      <c r="F135" s="70" t="str">
        <f t="shared" si="7"/>
        <v/>
      </c>
      <c r="G135" s="68"/>
      <c r="H135" s="69"/>
      <c r="I135" s="70" t="str">
        <f t="shared" si="8"/>
        <v/>
      </c>
    </row>
    <row r="136" spans="1:9">
      <c r="A136" s="95"/>
      <c r="B136" s="96"/>
      <c r="C136" s="70" t="str">
        <f t="shared" si="6"/>
        <v/>
      </c>
      <c r="D136" s="68"/>
      <c r="E136" s="69"/>
      <c r="F136" s="70" t="str">
        <f t="shared" si="7"/>
        <v/>
      </c>
      <c r="G136" s="68"/>
      <c r="H136" s="69"/>
      <c r="I136" s="70" t="str">
        <f t="shared" si="8"/>
        <v/>
      </c>
    </row>
    <row r="137" spans="1:9">
      <c r="A137" s="95"/>
      <c r="B137" s="96"/>
      <c r="C137" s="70" t="str">
        <f t="shared" si="6"/>
        <v/>
      </c>
      <c r="D137" s="68"/>
      <c r="E137" s="69"/>
      <c r="F137" s="70" t="str">
        <f t="shared" si="7"/>
        <v/>
      </c>
      <c r="G137" s="68"/>
      <c r="H137" s="69"/>
      <c r="I137" s="70" t="str">
        <f t="shared" si="8"/>
        <v/>
      </c>
    </row>
    <row r="138" spans="1:9">
      <c r="A138" s="95"/>
      <c r="B138" s="96"/>
      <c r="C138" s="70" t="str">
        <f t="shared" si="6"/>
        <v/>
      </c>
      <c r="D138" s="68"/>
      <c r="E138" s="69"/>
      <c r="F138" s="70" t="str">
        <f t="shared" si="7"/>
        <v/>
      </c>
      <c r="G138" s="68"/>
      <c r="H138" s="69"/>
      <c r="I138" s="70" t="str">
        <f t="shared" si="8"/>
        <v/>
      </c>
    </row>
    <row r="139" spans="1:9">
      <c r="A139" s="95"/>
      <c r="B139" s="96"/>
      <c r="C139" s="70" t="str">
        <f t="shared" si="6"/>
        <v/>
      </c>
      <c r="D139" s="68"/>
      <c r="E139" s="69"/>
      <c r="F139" s="70" t="str">
        <f t="shared" si="7"/>
        <v/>
      </c>
      <c r="G139" s="68"/>
      <c r="H139" s="69"/>
      <c r="I139" s="70" t="str">
        <f t="shared" si="8"/>
        <v/>
      </c>
    </row>
    <row r="140" spans="1:9">
      <c r="A140" s="95"/>
      <c r="B140" s="96"/>
      <c r="C140" s="70" t="str">
        <f t="shared" si="6"/>
        <v/>
      </c>
      <c r="D140" s="68"/>
      <c r="E140" s="69"/>
      <c r="F140" s="70" t="str">
        <f t="shared" si="7"/>
        <v/>
      </c>
      <c r="G140" s="68"/>
      <c r="H140" s="69"/>
      <c r="I140" s="70" t="str">
        <f t="shared" si="8"/>
        <v/>
      </c>
    </row>
    <row r="141" spans="1:9">
      <c r="A141" s="95"/>
      <c r="B141" s="96"/>
      <c r="C141" s="70" t="str">
        <f t="shared" si="6"/>
        <v/>
      </c>
      <c r="D141" s="68"/>
      <c r="E141" s="69"/>
      <c r="F141" s="70" t="str">
        <f t="shared" si="7"/>
        <v/>
      </c>
      <c r="G141" s="68"/>
      <c r="H141" s="69"/>
      <c r="I141" s="70" t="str">
        <f t="shared" si="8"/>
        <v/>
      </c>
    </row>
    <row r="142" spans="1:9">
      <c r="A142" s="95"/>
      <c r="B142" s="96"/>
      <c r="C142" s="70" t="str">
        <f t="shared" si="6"/>
        <v/>
      </c>
      <c r="D142" s="68"/>
      <c r="E142" s="69"/>
      <c r="F142" s="70" t="str">
        <f t="shared" si="7"/>
        <v/>
      </c>
      <c r="G142" s="68"/>
      <c r="H142" s="69"/>
      <c r="I142" s="70" t="str">
        <f t="shared" si="8"/>
        <v/>
      </c>
    </row>
    <row r="143" spans="1:9">
      <c r="A143" s="95"/>
      <c r="B143" s="96"/>
      <c r="C143" s="70" t="str">
        <f t="shared" si="6"/>
        <v/>
      </c>
      <c r="D143" s="68"/>
      <c r="E143" s="69"/>
      <c r="F143" s="70" t="str">
        <f t="shared" si="7"/>
        <v/>
      </c>
      <c r="G143" s="68"/>
      <c r="H143" s="69"/>
      <c r="I143" s="70" t="str">
        <f t="shared" si="8"/>
        <v/>
      </c>
    </row>
    <row r="144" spans="1:9">
      <c r="A144" s="95"/>
      <c r="B144" s="96"/>
      <c r="C144" s="70" t="str">
        <f t="shared" si="6"/>
        <v/>
      </c>
      <c r="D144" s="68"/>
      <c r="E144" s="69"/>
      <c r="F144" s="70" t="str">
        <f t="shared" si="7"/>
        <v/>
      </c>
      <c r="G144" s="68"/>
      <c r="H144" s="69"/>
      <c r="I144" s="70" t="str">
        <f t="shared" si="8"/>
        <v/>
      </c>
    </row>
    <row r="145" spans="1:9">
      <c r="A145" s="95"/>
      <c r="B145" s="96"/>
      <c r="C145" s="70" t="str">
        <f t="shared" si="6"/>
        <v/>
      </c>
      <c r="D145" s="68"/>
      <c r="E145" s="69"/>
      <c r="F145" s="70" t="str">
        <f t="shared" si="7"/>
        <v/>
      </c>
      <c r="G145" s="68"/>
      <c r="H145" s="69"/>
      <c r="I145" s="70" t="str">
        <f t="shared" si="8"/>
        <v/>
      </c>
    </row>
    <row r="146" spans="1:9">
      <c r="A146" s="95"/>
      <c r="B146" s="96"/>
      <c r="C146" s="70" t="str">
        <f t="shared" si="6"/>
        <v/>
      </c>
      <c r="D146" s="68"/>
      <c r="E146" s="69"/>
      <c r="F146" s="70" t="str">
        <f t="shared" si="7"/>
        <v/>
      </c>
      <c r="G146" s="68"/>
      <c r="H146" s="69"/>
      <c r="I146" s="70" t="str">
        <f t="shared" si="8"/>
        <v/>
      </c>
    </row>
    <row r="147" spans="1:9">
      <c r="A147" s="95"/>
      <c r="B147" s="96"/>
      <c r="C147" s="70" t="str">
        <f t="shared" si="6"/>
        <v/>
      </c>
      <c r="D147" s="68"/>
      <c r="E147" s="69"/>
      <c r="F147" s="70" t="str">
        <f t="shared" si="7"/>
        <v/>
      </c>
      <c r="G147" s="68"/>
      <c r="H147" s="69"/>
      <c r="I147" s="70" t="str">
        <f t="shared" si="8"/>
        <v/>
      </c>
    </row>
    <row r="148" spans="1:9">
      <c r="A148" s="95"/>
      <c r="B148" s="96"/>
      <c r="C148" s="70" t="str">
        <f t="shared" si="6"/>
        <v/>
      </c>
      <c r="D148" s="68"/>
      <c r="E148" s="69"/>
      <c r="F148" s="70" t="str">
        <f t="shared" si="7"/>
        <v/>
      </c>
      <c r="G148" s="68"/>
      <c r="H148" s="69"/>
      <c r="I148" s="70" t="str">
        <f t="shared" si="8"/>
        <v/>
      </c>
    </row>
    <row r="149" spans="1:9">
      <c r="A149" s="95"/>
      <c r="B149" s="96"/>
      <c r="C149" s="70" t="str">
        <f t="shared" si="6"/>
        <v/>
      </c>
      <c r="D149" s="68"/>
      <c r="E149" s="69"/>
      <c r="F149" s="70" t="str">
        <f t="shared" si="7"/>
        <v/>
      </c>
      <c r="G149" s="68"/>
      <c r="H149" s="69"/>
      <c r="I149" s="70" t="str">
        <f t="shared" si="8"/>
        <v/>
      </c>
    </row>
    <row r="150" spans="1:9">
      <c r="A150" s="95"/>
      <c r="B150" s="96"/>
      <c r="C150" s="70" t="str">
        <f t="shared" si="6"/>
        <v/>
      </c>
      <c r="D150" s="68"/>
      <c r="E150" s="69"/>
      <c r="F150" s="70" t="str">
        <f t="shared" si="7"/>
        <v/>
      </c>
      <c r="G150" s="68"/>
      <c r="H150" s="69"/>
      <c r="I150" s="70" t="str">
        <f t="shared" si="8"/>
        <v/>
      </c>
    </row>
    <row r="151" spans="1:9">
      <c r="A151" s="95"/>
      <c r="B151" s="96"/>
      <c r="C151" s="70" t="str">
        <f t="shared" si="6"/>
        <v/>
      </c>
      <c r="D151" s="68"/>
      <c r="E151" s="69"/>
      <c r="F151" s="70" t="str">
        <f t="shared" si="7"/>
        <v/>
      </c>
      <c r="G151" s="68"/>
      <c r="H151" s="69"/>
      <c r="I151" s="70" t="str">
        <f t="shared" si="8"/>
        <v/>
      </c>
    </row>
    <row r="152" spans="1:9">
      <c r="A152" s="95"/>
      <c r="B152" s="96"/>
      <c r="C152" s="70" t="str">
        <f t="shared" si="6"/>
        <v/>
      </c>
      <c r="D152" s="68"/>
      <c r="E152" s="69"/>
      <c r="F152" s="70" t="str">
        <f t="shared" si="7"/>
        <v/>
      </c>
      <c r="G152" s="68"/>
      <c r="H152" s="69"/>
      <c r="I152" s="70" t="str">
        <f t="shared" si="8"/>
        <v/>
      </c>
    </row>
    <row r="153" spans="1:9">
      <c r="A153" s="95"/>
      <c r="B153" s="96"/>
      <c r="C153" s="70" t="str">
        <f t="shared" si="6"/>
        <v/>
      </c>
      <c r="D153" s="68"/>
      <c r="E153" s="69"/>
      <c r="F153" s="70" t="str">
        <f t="shared" si="7"/>
        <v/>
      </c>
      <c r="G153" s="68"/>
      <c r="H153" s="69"/>
      <c r="I153" s="70" t="str">
        <f t="shared" si="8"/>
        <v/>
      </c>
    </row>
    <row r="154" spans="1:9">
      <c r="A154" s="95"/>
      <c r="B154" s="96"/>
      <c r="C154" s="70" t="str">
        <f t="shared" si="6"/>
        <v/>
      </c>
      <c r="D154" s="68"/>
      <c r="E154" s="69"/>
      <c r="F154" s="70" t="str">
        <f t="shared" si="7"/>
        <v/>
      </c>
      <c r="G154" s="68"/>
      <c r="H154" s="69"/>
      <c r="I154" s="70" t="str">
        <f t="shared" si="8"/>
        <v/>
      </c>
    </row>
    <row r="155" spans="1:9">
      <c r="A155" s="95"/>
      <c r="B155" s="96"/>
      <c r="C155" s="70" t="str">
        <f t="shared" si="6"/>
        <v/>
      </c>
      <c r="D155" s="68"/>
      <c r="E155" s="69"/>
      <c r="F155" s="70" t="str">
        <f t="shared" si="7"/>
        <v/>
      </c>
      <c r="G155" s="68"/>
      <c r="H155" s="69"/>
      <c r="I155" s="70" t="str">
        <f t="shared" si="8"/>
        <v/>
      </c>
    </row>
    <row r="156" spans="1:9">
      <c r="A156" s="95"/>
      <c r="B156" s="96"/>
      <c r="C156" s="70" t="str">
        <f t="shared" si="6"/>
        <v/>
      </c>
      <c r="D156" s="68"/>
      <c r="E156" s="69"/>
      <c r="F156" s="70" t="str">
        <f t="shared" si="7"/>
        <v/>
      </c>
      <c r="G156" s="68"/>
      <c r="H156" s="69"/>
      <c r="I156" s="70" t="str">
        <f t="shared" si="8"/>
        <v/>
      </c>
    </row>
    <row r="157" spans="1:9">
      <c r="A157" s="95"/>
      <c r="B157" s="96"/>
      <c r="C157" s="70" t="str">
        <f t="shared" si="6"/>
        <v/>
      </c>
      <c r="D157" s="68"/>
      <c r="E157" s="69"/>
      <c r="F157" s="70" t="str">
        <f t="shared" si="7"/>
        <v/>
      </c>
      <c r="G157" s="68"/>
      <c r="H157" s="69"/>
      <c r="I157" s="70" t="str">
        <f t="shared" si="8"/>
        <v/>
      </c>
    </row>
    <row r="158" spans="1:9">
      <c r="A158" s="95"/>
      <c r="B158" s="96"/>
      <c r="C158" s="70" t="str">
        <f t="shared" si="6"/>
        <v/>
      </c>
      <c r="D158" s="68"/>
      <c r="E158" s="69"/>
      <c r="F158" s="70" t="str">
        <f t="shared" si="7"/>
        <v/>
      </c>
      <c r="G158" s="68"/>
      <c r="H158" s="69"/>
      <c r="I158" s="70" t="str">
        <f t="shared" si="8"/>
        <v/>
      </c>
    </row>
    <row r="159" spans="1:9">
      <c r="A159" s="95"/>
      <c r="B159" s="96"/>
      <c r="C159" s="70" t="str">
        <f t="shared" si="6"/>
        <v/>
      </c>
      <c r="D159" s="68"/>
      <c r="E159" s="69"/>
      <c r="F159" s="70" t="str">
        <f t="shared" si="7"/>
        <v/>
      </c>
      <c r="G159" s="68"/>
      <c r="H159" s="69"/>
      <c r="I159" s="70" t="str">
        <f t="shared" si="8"/>
        <v/>
      </c>
    </row>
    <row r="160" spans="1:9">
      <c r="A160" s="95"/>
      <c r="B160" s="96"/>
      <c r="C160" s="70" t="str">
        <f t="shared" si="6"/>
        <v/>
      </c>
      <c r="D160" s="68"/>
      <c r="E160" s="69"/>
      <c r="F160" s="70" t="str">
        <f t="shared" si="7"/>
        <v/>
      </c>
      <c r="G160" s="68"/>
      <c r="H160" s="69"/>
      <c r="I160" s="70" t="str">
        <f t="shared" si="8"/>
        <v/>
      </c>
    </row>
    <row r="161" spans="1:9">
      <c r="A161" s="95"/>
      <c r="B161" s="96"/>
      <c r="C161" s="70" t="str">
        <f t="shared" si="6"/>
        <v/>
      </c>
      <c r="D161" s="68"/>
      <c r="E161" s="69"/>
      <c r="F161" s="70" t="str">
        <f t="shared" si="7"/>
        <v/>
      </c>
      <c r="G161" s="68"/>
      <c r="H161" s="69"/>
      <c r="I161" s="70" t="str">
        <f t="shared" si="8"/>
        <v/>
      </c>
    </row>
    <row r="162" spans="1:9">
      <c r="A162" s="95"/>
      <c r="B162" s="96"/>
      <c r="C162" s="70" t="str">
        <f t="shared" si="6"/>
        <v/>
      </c>
      <c r="D162" s="68"/>
      <c r="E162" s="69"/>
      <c r="F162" s="70" t="str">
        <f t="shared" si="7"/>
        <v/>
      </c>
      <c r="G162" s="68"/>
      <c r="H162" s="69"/>
      <c r="I162" s="70" t="str">
        <f t="shared" si="8"/>
        <v/>
      </c>
    </row>
    <row r="163" spans="1:9">
      <c r="A163" s="95"/>
      <c r="B163" s="96"/>
      <c r="C163" s="70" t="str">
        <f t="shared" si="6"/>
        <v/>
      </c>
      <c r="D163" s="68"/>
      <c r="E163" s="69"/>
      <c r="F163" s="70" t="str">
        <f t="shared" si="7"/>
        <v/>
      </c>
      <c r="G163" s="68"/>
      <c r="H163" s="69"/>
      <c r="I163" s="70" t="str">
        <f t="shared" si="8"/>
        <v/>
      </c>
    </row>
    <row r="164" spans="1:9">
      <c r="A164" s="95"/>
      <c r="B164" s="96"/>
      <c r="C164" s="70" t="str">
        <f t="shared" si="6"/>
        <v/>
      </c>
      <c r="D164" s="68"/>
      <c r="E164" s="69"/>
      <c r="F164" s="70" t="str">
        <f t="shared" si="7"/>
        <v/>
      </c>
      <c r="G164" s="68"/>
      <c r="H164" s="69"/>
      <c r="I164" s="70" t="str">
        <f t="shared" si="8"/>
        <v/>
      </c>
    </row>
    <row r="165" spans="1:9">
      <c r="A165" s="95"/>
      <c r="B165" s="96"/>
      <c r="C165" s="70" t="str">
        <f t="shared" si="6"/>
        <v/>
      </c>
      <c r="D165" s="68"/>
      <c r="E165" s="69"/>
      <c r="F165" s="70" t="str">
        <f t="shared" si="7"/>
        <v/>
      </c>
      <c r="G165" s="68"/>
      <c r="H165" s="69"/>
      <c r="I165" s="70" t="str">
        <f t="shared" si="8"/>
        <v/>
      </c>
    </row>
    <row r="166" spans="1:9">
      <c r="A166" s="95"/>
      <c r="B166" s="96"/>
      <c r="C166" s="70" t="str">
        <f t="shared" si="6"/>
        <v/>
      </c>
      <c r="D166" s="68"/>
      <c r="E166" s="69"/>
      <c r="F166" s="70" t="str">
        <f t="shared" si="7"/>
        <v/>
      </c>
      <c r="G166" s="68"/>
      <c r="H166" s="69"/>
      <c r="I166" s="70" t="str">
        <f t="shared" si="8"/>
        <v/>
      </c>
    </row>
    <row r="167" spans="1:9">
      <c r="A167" s="95"/>
      <c r="B167" s="96"/>
      <c r="C167" s="70" t="str">
        <f t="shared" si="6"/>
        <v/>
      </c>
      <c r="D167" s="68"/>
      <c r="E167" s="69"/>
      <c r="F167" s="70" t="str">
        <f t="shared" si="7"/>
        <v/>
      </c>
      <c r="G167" s="68"/>
      <c r="H167" s="69"/>
      <c r="I167" s="70" t="str">
        <f t="shared" si="8"/>
        <v/>
      </c>
    </row>
    <row r="168" spans="1:9">
      <c r="A168" s="95"/>
      <c r="B168" s="96"/>
      <c r="C168" s="70" t="str">
        <f t="shared" si="6"/>
        <v/>
      </c>
      <c r="D168" s="68"/>
      <c r="E168" s="69"/>
      <c r="F168" s="70" t="str">
        <f t="shared" si="7"/>
        <v/>
      </c>
      <c r="G168" s="68"/>
      <c r="H168" s="69"/>
      <c r="I168" s="70" t="str">
        <f t="shared" si="8"/>
        <v/>
      </c>
    </row>
    <row r="169" spans="1:9">
      <c r="A169" s="95"/>
      <c r="B169" s="96"/>
      <c r="C169" s="70" t="str">
        <f t="shared" si="6"/>
        <v/>
      </c>
      <c r="D169" s="68"/>
      <c r="E169" s="69"/>
      <c r="F169" s="70" t="str">
        <f t="shared" si="7"/>
        <v/>
      </c>
      <c r="G169" s="68"/>
      <c r="H169" s="69"/>
      <c r="I169" s="70" t="str">
        <f t="shared" si="8"/>
        <v/>
      </c>
    </row>
    <row r="170" spans="1:9">
      <c r="A170" s="95"/>
      <c r="B170" s="96"/>
      <c r="C170" s="70" t="str">
        <f t="shared" si="6"/>
        <v/>
      </c>
      <c r="D170" s="68"/>
      <c r="E170" s="69"/>
      <c r="F170" s="70" t="str">
        <f t="shared" si="7"/>
        <v/>
      </c>
      <c r="G170" s="68"/>
      <c r="H170" s="69"/>
      <c r="I170" s="70" t="str">
        <f t="shared" si="8"/>
        <v/>
      </c>
    </row>
    <row r="171" spans="1:9">
      <c r="A171" s="95"/>
      <c r="B171" s="96"/>
      <c r="C171" s="70" t="str">
        <f t="shared" si="6"/>
        <v/>
      </c>
      <c r="D171" s="68"/>
      <c r="E171" s="69"/>
      <c r="F171" s="70" t="str">
        <f t="shared" si="7"/>
        <v/>
      </c>
      <c r="G171" s="68"/>
      <c r="H171" s="69"/>
      <c r="I171" s="70" t="str">
        <f t="shared" si="8"/>
        <v/>
      </c>
    </row>
    <row r="172" spans="1:9">
      <c r="A172" s="95"/>
      <c r="B172" s="96"/>
      <c r="C172" s="70" t="str">
        <f t="shared" si="6"/>
        <v/>
      </c>
      <c r="D172" s="68"/>
      <c r="E172" s="69"/>
      <c r="F172" s="70" t="str">
        <f t="shared" si="7"/>
        <v/>
      </c>
      <c r="G172" s="68"/>
      <c r="H172" s="69"/>
      <c r="I172" s="70" t="str">
        <f t="shared" si="8"/>
        <v/>
      </c>
    </row>
    <row r="173" spans="1:9">
      <c r="A173" s="95"/>
      <c r="B173" s="96"/>
      <c r="C173" s="70" t="str">
        <f t="shared" si="6"/>
        <v/>
      </c>
      <c r="D173" s="68"/>
      <c r="E173" s="69"/>
      <c r="F173" s="70" t="str">
        <f t="shared" si="7"/>
        <v/>
      </c>
      <c r="G173" s="68"/>
      <c r="H173" s="69"/>
      <c r="I173" s="70" t="str">
        <f t="shared" si="8"/>
        <v/>
      </c>
    </row>
    <row r="174" spans="1:9">
      <c r="A174" s="95"/>
      <c r="B174" s="96"/>
      <c r="C174" s="70" t="str">
        <f t="shared" si="6"/>
        <v/>
      </c>
      <c r="D174" s="68"/>
      <c r="E174" s="69"/>
      <c r="F174" s="70" t="str">
        <f t="shared" si="7"/>
        <v/>
      </c>
      <c r="G174" s="68"/>
      <c r="H174" s="69"/>
      <c r="I174" s="70" t="str">
        <f t="shared" si="8"/>
        <v/>
      </c>
    </row>
    <row r="175" spans="1:9">
      <c r="A175" s="95"/>
      <c r="B175" s="96"/>
      <c r="C175" s="70" t="str">
        <f t="shared" si="6"/>
        <v/>
      </c>
      <c r="D175" s="68"/>
      <c r="E175" s="69"/>
      <c r="F175" s="70" t="str">
        <f t="shared" si="7"/>
        <v/>
      </c>
      <c r="G175" s="68"/>
      <c r="H175" s="69"/>
      <c r="I175" s="70" t="str">
        <f t="shared" si="8"/>
        <v/>
      </c>
    </row>
    <row r="176" spans="1:9">
      <c r="A176" s="95"/>
      <c r="B176" s="96"/>
      <c r="C176" s="70" t="str">
        <f t="shared" si="6"/>
        <v/>
      </c>
      <c r="D176" s="68"/>
      <c r="E176" s="69"/>
      <c r="F176" s="70" t="str">
        <f t="shared" si="7"/>
        <v/>
      </c>
      <c r="G176" s="68"/>
      <c r="H176" s="69"/>
      <c r="I176" s="70" t="str">
        <f t="shared" si="8"/>
        <v/>
      </c>
    </row>
    <row r="177" spans="1:9">
      <c r="A177" s="95"/>
      <c r="B177" s="96"/>
      <c r="C177" s="70" t="str">
        <f t="shared" si="6"/>
        <v/>
      </c>
      <c r="D177" s="68"/>
      <c r="E177" s="69"/>
      <c r="F177" s="70" t="str">
        <f t="shared" si="7"/>
        <v/>
      </c>
      <c r="G177" s="68"/>
      <c r="H177" s="69"/>
      <c r="I177" s="70" t="str">
        <f t="shared" si="8"/>
        <v/>
      </c>
    </row>
    <row r="178" spans="1:9">
      <c r="A178" s="95"/>
      <c r="B178" s="96"/>
      <c r="C178" s="70" t="str">
        <f t="shared" si="6"/>
        <v/>
      </c>
      <c r="D178" s="68"/>
      <c r="E178" s="69"/>
      <c r="F178" s="70" t="str">
        <f t="shared" si="7"/>
        <v/>
      </c>
      <c r="G178" s="68"/>
      <c r="H178" s="69"/>
      <c r="I178" s="70" t="str">
        <f t="shared" si="8"/>
        <v/>
      </c>
    </row>
    <row r="179" spans="1:9">
      <c r="A179" s="95"/>
      <c r="B179" s="96"/>
      <c r="C179" s="70" t="str">
        <f t="shared" si="6"/>
        <v/>
      </c>
      <c r="D179" s="68"/>
      <c r="E179" s="69"/>
      <c r="F179" s="70" t="str">
        <f t="shared" si="7"/>
        <v/>
      </c>
      <c r="G179" s="68"/>
      <c r="H179" s="69"/>
      <c r="I179" s="70" t="str">
        <f t="shared" si="8"/>
        <v/>
      </c>
    </row>
    <row r="180" spans="1:9">
      <c r="A180" s="95"/>
      <c r="B180" s="96"/>
      <c r="C180" s="70" t="str">
        <f t="shared" si="6"/>
        <v/>
      </c>
      <c r="D180" s="68"/>
      <c r="E180" s="69"/>
      <c r="F180" s="70" t="str">
        <f t="shared" si="7"/>
        <v/>
      </c>
      <c r="G180" s="68"/>
      <c r="H180" s="69"/>
      <c r="I180" s="70" t="str">
        <f t="shared" si="8"/>
        <v/>
      </c>
    </row>
    <row r="181" spans="1:9">
      <c r="A181" s="95"/>
      <c r="B181" s="96"/>
      <c r="C181" s="70" t="str">
        <f t="shared" si="6"/>
        <v/>
      </c>
      <c r="D181" s="68"/>
      <c r="E181" s="69"/>
      <c r="F181" s="70" t="str">
        <f t="shared" si="7"/>
        <v/>
      </c>
      <c r="G181" s="68"/>
      <c r="H181" s="69"/>
      <c r="I181" s="70" t="str">
        <f t="shared" si="8"/>
        <v/>
      </c>
    </row>
    <row r="182" spans="1:9">
      <c r="A182" s="95"/>
      <c r="B182" s="96"/>
      <c r="C182" s="70" t="str">
        <f t="shared" si="6"/>
        <v/>
      </c>
      <c r="D182" s="68"/>
      <c r="E182" s="69"/>
      <c r="F182" s="70" t="str">
        <f t="shared" si="7"/>
        <v/>
      </c>
      <c r="G182" s="68"/>
      <c r="H182" s="69"/>
      <c r="I182" s="70" t="str">
        <f t="shared" si="8"/>
        <v/>
      </c>
    </row>
    <row r="183" spans="1:9">
      <c r="A183" s="95"/>
      <c r="B183" s="96"/>
      <c r="C183" s="70" t="str">
        <f t="shared" si="6"/>
        <v/>
      </c>
      <c r="D183" s="68"/>
      <c r="E183" s="69"/>
      <c r="F183" s="70" t="str">
        <f t="shared" si="7"/>
        <v/>
      </c>
      <c r="G183" s="68"/>
      <c r="H183" s="69"/>
      <c r="I183" s="70" t="str">
        <f t="shared" si="8"/>
        <v/>
      </c>
    </row>
    <row r="184" spans="1:9">
      <c r="A184" s="95"/>
      <c r="B184" s="96"/>
      <c r="C184" s="70" t="str">
        <f t="shared" si="6"/>
        <v/>
      </c>
      <c r="D184" s="68"/>
      <c r="E184" s="69"/>
      <c r="F184" s="70" t="str">
        <f t="shared" si="7"/>
        <v/>
      </c>
      <c r="G184" s="68"/>
      <c r="H184" s="69"/>
      <c r="I184" s="70" t="str">
        <f t="shared" si="8"/>
        <v/>
      </c>
    </row>
    <row r="185" spans="1:9">
      <c r="A185" s="95"/>
      <c r="B185" s="96"/>
      <c r="C185" s="70" t="str">
        <f t="shared" si="6"/>
        <v/>
      </c>
      <c r="D185" s="68"/>
      <c r="E185" s="69"/>
      <c r="F185" s="70" t="str">
        <f t="shared" si="7"/>
        <v/>
      </c>
      <c r="G185" s="68"/>
      <c r="H185" s="69"/>
      <c r="I185" s="70" t="str">
        <f t="shared" si="8"/>
        <v/>
      </c>
    </row>
    <row r="186" spans="1:9">
      <c r="A186" s="95"/>
      <c r="B186" s="96"/>
      <c r="C186" s="70" t="str">
        <f t="shared" si="6"/>
        <v/>
      </c>
      <c r="D186" s="68"/>
      <c r="E186" s="69"/>
      <c r="F186" s="70" t="str">
        <f t="shared" si="7"/>
        <v/>
      </c>
      <c r="G186" s="68"/>
      <c r="H186" s="69"/>
      <c r="I186" s="70" t="str">
        <f t="shared" si="8"/>
        <v/>
      </c>
    </row>
    <row r="187" spans="1:9">
      <c r="A187" s="95"/>
      <c r="B187" s="96"/>
      <c r="C187" s="70" t="str">
        <f t="shared" si="6"/>
        <v/>
      </c>
      <c r="D187" s="68"/>
      <c r="E187" s="69"/>
      <c r="F187" s="70" t="str">
        <f t="shared" si="7"/>
        <v/>
      </c>
      <c r="G187" s="68"/>
      <c r="H187" s="69"/>
      <c r="I187" s="70" t="str">
        <f t="shared" si="8"/>
        <v/>
      </c>
    </row>
    <row r="188" spans="1:9">
      <c r="A188" s="95"/>
      <c r="B188" s="96"/>
      <c r="C188" s="70" t="str">
        <f t="shared" si="6"/>
        <v/>
      </c>
      <c r="D188" s="68"/>
      <c r="E188" s="69"/>
      <c r="F188" s="70" t="str">
        <f t="shared" si="7"/>
        <v/>
      </c>
      <c r="G188" s="68"/>
      <c r="H188" s="69"/>
      <c r="I188" s="70" t="str">
        <f t="shared" si="8"/>
        <v/>
      </c>
    </row>
    <row r="189" spans="1:9">
      <c r="A189" s="95"/>
      <c r="B189" s="96"/>
      <c r="C189" s="70" t="str">
        <f t="shared" si="6"/>
        <v/>
      </c>
      <c r="D189" s="68"/>
      <c r="E189" s="69"/>
      <c r="F189" s="70" t="str">
        <f t="shared" si="7"/>
        <v/>
      </c>
      <c r="G189" s="68"/>
      <c r="H189" s="69"/>
      <c r="I189" s="70" t="str">
        <f t="shared" si="8"/>
        <v/>
      </c>
    </row>
    <row r="190" spans="1:9">
      <c r="A190" s="95"/>
      <c r="B190" s="96"/>
      <c r="C190" s="70" t="str">
        <f t="shared" si="6"/>
        <v/>
      </c>
      <c r="D190" s="68"/>
      <c r="E190" s="69"/>
      <c r="F190" s="70" t="str">
        <f t="shared" si="7"/>
        <v/>
      </c>
      <c r="G190" s="68"/>
      <c r="H190" s="69"/>
      <c r="I190" s="70" t="str">
        <f t="shared" si="8"/>
        <v/>
      </c>
    </row>
    <row r="191" spans="1:9">
      <c r="A191" s="95"/>
      <c r="B191" s="96"/>
      <c r="C191" s="70" t="str">
        <f t="shared" si="6"/>
        <v/>
      </c>
      <c r="D191" s="68"/>
      <c r="E191" s="69"/>
      <c r="F191" s="70" t="str">
        <f t="shared" si="7"/>
        <v/>
      </c>
      <c r="G191" s="68"/>
      <c r="H191" s="69"/>
      <c r="I191" s="70" t="str">
        <f t="shared" si="8"/>
        <v/>
      </c>
    </row>
    <row r="192" spans="1:9">
      <c r="A192" s="95"/>
      <c r="B192" s="96"/>
      <c r="C192" s="70" t="str">
        <f t="shared" si="6"/>
        <v/>
      </c>
      <c r="D192" s="68"/>
      <c r="E192" s="69"/>
      <c r="F192" s="70" t="str">
        <f t="shared" si="7"/>
        <v/>
      </c>
      <c r="G192" s="68"/>
      <c r="H192" s="69"/>
      <c r="I192" s="70" t="str">
        <f t="shared" si="8"/>
        <v/>
      </c>
    </row>
    <row r="193" spans="1:9">
      <c r="A193" s="95"/>
      <c r="B193" s="96"/>
      <c r="C193" s="70" t="str">
        <f t="shared" si="6"/>
        <v/>
      </c>
      <c r="D193" s="68"/>
      <c r="E193" s="69"/>
      <c r="F193" s="70" t="str">
        <f t="shared" si="7"/>
        <v/>
      </c>
      <c r="G193" s="68"/>
      <c r="H193" s="69"/>
      <c r="I193" s="70" t="str">
        <f t="shared" si="8"/>
        <v/>
      </c>
    </row>
    <row r="194" spans="1:9">
      <c r="A194" s="95"/>
      <c r="B194" s="96"/>
      <c r="C194" s="70" t="str">
        <f t="shared" si="6"/>
        <v/>
      </c>
      <c r="D194" s="68"/>
      <c r="E194" s="69"/>
      <c r="F194" s="70" t="str">
        <f t="shared" si="7"/>
        <v/>
      </c>
      <c r="G194" s="68"/>
      <c r="H194" s="69"/>
      <c r="I194" s="70" t="str">
        <f t="shared" si="8"/>
        <v/>
      </c>
    </row>
    <row r="195" spans="1:9">
      <c r="A195" s="95"/>
      <c r="B195" s="96"/>
      <c r="C195" s="70" t="str">
        <f t="shared" si="6"/>
        <v/>
      </c>
      <c r="D195" s="68"/>
      <c r="E195" s="69"/>
      <c r="F195" s="70" t="str">
        <f t="shared" si="7"/>
        <v/>
      </c>
      <c r="G195" s="68"/>
      <c r="H195" s="69"/>
      <c r="I195" s="70" t="str">
        <f t="shared" si="8"/>
        <v/>
      </c>
    </row>
    <row r="196" spans="1:9">
      <c r="A196" s="95"/>
      <c r="B196" s="96"/>
      <c r="C196" s="70" t="str">
        <f t="shared" si="6"/>
        <v/>
      </c>
      <c r="D196" s="68"/>
      <c r="E196" s="69"/>
      <c r="F196" s="70" t="str">
        <f t="shared" si="7"/>
        <v/>
      </c>
      <c r="G196" s="68"/>
      <c r="H196" s="69"/>
      <c r="I196" s="70" t="str">
        <f t="shared" si="8"/>
        <v/>
      </c>
    </row>
    <row r="197" spans="1:9">
      <c r="A197" s="95"/>
      <c r="B197" s="96"/>
      <c r="C197" s="70" t="str">
        <f t="shared" ref="C197:C260" si="9">IF(B197&gt;0,TEXT(B197,"(aaa)"),"")</f>
        <v/>
      </c>
      <c r="D197" s="68"/>
      <c r="E197" s="69"/>
      <c r="F197" s="70" t="str">
        <f t="shared" ref="F197:F260" si="10">IF(E197&gt;0,TEXT(E197,"(aaa)"),"")</f>
        <v/>
      </c>
      <c r="G197" s="68"/>
      <c r="H197" s="69"/>
      <c r="I197" s="70" t="str">
        <f t="shared" ref="I197:I260" si="11">IF(H197&gt;0,TEXT(H197,"(aaa)"),"")</f>
        <v/>
      </c>
    </row>
    <row r="198" spans="1:9">
      <c r="A198" s="95"/>
      <c r="B198" s="96"/>
      <c r="C198" s="70" t="str">
        <f t="shared" si="9"/>
        <v/>
      </c>
      <c r="D198" s="68"/>
      <c r="E198" s="69"/>
      <c r="F198" s="70" t="str">
        <f t="shared" si="10"/>
        <v/>
      </c>
      <c r="G198" s="68"/>
      <c r="H198" s="69"/>
      <c r="I198" s="70" t="str">
        <f t="shared" si="11"/>
        <v/>
      </c>
    </row>
    <row r="199" spans="1:9">
      <c r="A199" s="95"/>
      <c r="B199" s="96"/>
      <c r="C199" s="70" t="str">
        <f t="shared" si="9"/>
        <v/>
      </c>
      <c r="D199" s="68"/>
      <c r="E199" s="69"/>
      <c r="F199" s="70" t="str">
        <f t="shared" si="10"/>
        <v/>
      </c>
      <c r="G199" s="68"/>
      <c r="H199" s="69"/>
      <c r="I199" s="70" t="str">
        <f t="shared" si="11"/>
        <v/>
      </c>
    </row>
    <row r="200" spans="1:9">
      <c r="A200" s="95"/>
      <c r="B200" s="96"/>
      <c r="C200" s="70" t="str">
        <f t="shared" si="9"/>
        <v/>
      </c>
      <c r="D200" s="68"/>
      <c r="E200" s="69"/>
      <c r="F200" s="70" t="str">
        <f t="shared" si="10"/>
        <v/>
      </c>
      <c r="G200" s="68"/>
      <c r="H200" s="69"/>
      <c r="I200" s="70" t="str">
        <f t="shared" si="11"/>
        <v/>
      </c>
    </row>
    <row r="201" spans="1:9">
      <c r="A201" s="95"/>
      <c r="B201" s="96"/>
      <c r="C201" s="70" t="str">
        <f t="shared" si="9"/>
        <v/>
      </c>
      <c r="D201" s="68"/>
      <c r="E201" s="69"/>
      <c r="F201" s="70" t="str">
        <f t="shared" si="10"/>
        <v/>
      </c>
      <c r="G201" s="68"/>
      <c r="H201" s="69"/>
      <c r="I201" s="70" t="str">
        <f t="shared" si="11"/>
        <v/>
      </c>
    </row>
    <row r="202" spans="1:9">
      <c r="A202" s="95"/>
      <c r="B202" s="96"/>
      <c r="C202" s="70" t="str">
        <f t="shared" si="9"/>
        <v/>
      </c>
      <c r="D202" s="68"/>
      <c r="E202" s="69"/>
      <c r="F202" s="70" t="str">
        <f t="shared" si="10"/>
        <v/>
      </c>
      <c r="G202" s="68"/>
      <c r="H202" s="69"/>
      <c r="I202" s="70" t="str">
        <f t="shared" si="11"/>
        <v/>
      </c>
    </row>
    <row r="203" spans="1:9">
      <c r="A203" s="95"/>
      <c r="B203" s="96"/>
      <c r="C203" s="70" t="str">
        <f t="shared" si="9"/>
        <v/>
      </c>
      <c r="D203" s="68"/>
      <c r="E203" s="69"/>
      <c r="F203" s="70" t="str">
        <f t="shared" si="10"/>
        <v/>
      </c>
      <c r="G203" s="68"/>
      <c r="H203" s="69"/>
      <c r="I203" s="70" t="str">
        <f t="shared" si="11"/>
        <v/>
      </c>
    </row>
    <row r="204" spans="1:9">
      <c r="A204" s="95"/>
      <c r="B204" s="96"/>
      <c r="C204" s="70" t="str">
        <f t="shared" si="9"/>
        <v/>
      </c>
      <c r="D204" s="68"/>
      <c r="E204" s="69"/>
      <c r="F204" s="70" t="str">
        <f t="shared" si="10"/>
        <v/>
      </c>
      <c r="G204" s="68"/>
      <c r="H204" s="69"/>
      <c r="I204" s="70" t="str">
        <f t="shared" si="11"/>
        <v/>
      </c>
    </row>
    <row r="205" spans="1:9">
      <c r="A205" s="95"/>
      <c r="B205" s="96"/>
      <c r="C205" s="70" t="str">
        <f t="shared" si="9"/>
        <v/>
      </c>
      <c r="D205" s="68"/>
      <c r="E205" s="69"/>
      <c r="F205" s="70" t="str">
        <f t="shared" si="10"/>
        <v/>
      </c>
      <c r="G205" s="68"/>
      <c r="H205" s="69"/>
      <c r="I205" s="70" t="str">
        <f t="shared" si="11"/>
        <v/>
      </c>
    </row>
    <row r="206" spans="1:9">
      <c r="A206" s="95"/>
      <c r="B206" s="96"/>
      <c r="C206" s="70" t="str">
        <f t="shared" si="9"/>
        <v/>
      </c>
      <c r="D206" s="68"/>
      <c r="E206" s="69"/>
      <c r="F206" s="70" t="str">
        <f t="shared" si="10"/>
        <v/>
      </c>
      <c r="G206" s="68"/>
      <c r="H206" s="69"/>
      <c r="I206" s="70" t="str">
        <f t="shared" si="11"/>
        <v/>
      </c>
    </row>
    <row r="207" spans="1:9">
      <c r="A207" s="95"/>
      <c r="B207" s="96"/>
      <c r="C207" s="70" t="str">
        <f t="shared" si="9"/>
        <v/>
      </c>
      <c r="D207" s="68"/>
      <c r="E207" s="69"/>
      <c r="F207" s="70" t="str">
        <f t="shared" si="10"/>
        <v/>
      </c>
      <c r="G207" s="68"/>
      <c r="H207" s="69"/>
      <c r="I207" s="70" t="str">
        <f t="shared" si="11"/>
        <v/>
      </c>
    </row>
    <row r="208" spans="1:9">
      <c r="A208" s="95"/>
      <c r="B208" s="96"/>
      <c r="C208" s="70" t="str">
        <f t="shared" si="9"/>
        <v/>
      </c>
      <c r="D208" s="68"/>
      <c r="E208" s="69"/>
      <c r="F208" s="70" t="str">
        <f t="shared" si="10"/>
        <v/>
      </c>
      <c r="G208" s="68"/>
      <c r="H208" s="69"/>
      <c r="I208" s="70" t="str">
        <f t="shared" si="11"/>
        <v/>
      </c>
    </row>
    <row r="209" spans="1:9">
      <c r="A209" s="95"/>
      <c r="B209" s="96"/>
      <c r="C209" s="70" t="str">
        <f t="shared" si="9"/>
        <v/>
      </c>
      <c r="D209" s="68"/>
      <c r="E209" s="69"/>
      <c r="F209" s="70" t="str">
        <f t="shared" si="10"/>
        <v/>
      </c>
      <c r="G209" s="68"/>
      <c r="H209" s="69"/>
      <c r="I209" s="70" t="str">
        <f t="shared" si="11"/>
        <v/>
      </c>
    </row>
    <row r="210" spans="1:9">
      <c r="A210" s="95"/>
      <c r="B210" s="96"/>
      <c r="C210" s="70" t="str">
        <f t="shared" si="9"/>
        <v/>
      </c>
      <c r="D210" s="68"/>
      <c r="E210" s="69"/>
      <c r="F210" s="70" t="str">
        <f t="shared" si="10"/>
        <v/>
      </c>
      <c r="G210" s="68"/>
      <c r="H210" s="69"/>
      <c r="I210" s="70" t="str">
        <f t="shared" si="11"/>
        <v/>
      </c>
    </row>
    <row r="211" spans="1:9">
      <c r="A211" s="95"/>
      <c r="B211" s="96"/>
      <c r="C211" s="70" t="str">
        <f t="shared" si="9"/>
        <v/>
      </c>
      <c r="D211" s="68"/>
      <c r="E211" s="69"/>
      <c r="F211" s="70" t="str">
        <f t="shared" si="10"/>
        <v/>
      </c>
      <c r="G211" s="68"/>
      <c r="H211" s="69"/>
      <c r="I211" s="70" t="str">
        <f t="shared" si="11"/>
        <v/>
      </c>
    </row>
    <row r="212" spans="1:9">
      <c r="A212" s="95"/>
      <c r="B212" s="96"/>
      <c r="C212" s="70" t="str">
        <f t="shared" si="9"/>
        <v/>
      </c>
      <c r="D212" s="68"/>
      <c r="E212" s="69"/>
      <c r="F212" s="70" t="str">
        <f t="shared" si="10"/>
        <v/>
      </c>
      <c r="G212" s="68"/>
      <c r="H212" s="69"/>
      <c r="I212" s="70" t="str">
        <f t="shared" si="11"/>
        <v/>
      </c>
    </row>
    <row r="213" spans="1:9">
      <c r="A213" s="95"/>
      <c r="B213" s="96"/>
      <c r="C213" s="70" t="str">
        <f t="shared" si="9"/>
        <v/>
      </c>
      <c r="D213" s="68"/>
      <c r="E213" s="69"/>
      <c r="F213" s="70" t="str">
        <f t="shared" si="10"/>
        <v/>
      </c>
      <c r="G213" s="68"/>
      <c r="H213" s="69"/>
      <c r="I213" s="70" t="str">
        <f t="shared" si="11"/>
        <v/>
      </c>
    </row>
    <row r="214" spans="1:9">
      <c r="A214" s="95"/>
      <c r="B214" s="96"/>
      <c r="C214" s="70" t="str">
        <f t="shared" si="9"/>
        <v/>
      </c>
      <c r="D214" s="68"/>
      <c r="E214" s="69"/>
      <c r="F214" s="70" t="str">
        <f t="shared" si="10"/>
        <v/>
      </c>
      <c r="G214" s="68"/>
      <c r="H214" s="69"/>
      <c r="I214" s="70" t="str">
        <f t="shared" si="11"/>
        <v/>
      </c>
    </row>
    <row r="215" spans="1:9">
      <c r="A215" s="95"/>
      <c r="B215" s="96"/>
      <c r="C215" s="70" t="str">
        <f t="shared" si="9"/>
        <v/>
      </c>
      <c r="D215" s="68"/>
      <c r="E215" s="69"/>
      <c r="F215" s="70" t="str">
        <f t="shared" si="10"/>
        <v/>
      </c>
      <c r="G215" s="68"/>
      <c r="H215" s="69"/>
      <c r="I215" s="70" t="str">
        <f t="shared" si="11"/>
        <v/>
      </c>
    </row>
    <row r="216" spans="1:9">
      <c r="A216" s="95"/>
      <c r="B216" s="96"/>
      <c r="C216" s="70" t="str">
        <f t="shared" si="9"/>
        <v/>
      </c>
      <c r="D216" s="68"/>
      <c r="E216" s="69"/>
      <c r="F216" s="70" t="str">
        <f t="shared" si="10"/>
        <v/>
      </c>
      <c r="G216" s="68"/>
      <c r="H216" s="69"/>
      <c r="I216" s="70" t="str">
        <f t="shared" si="11"/>
        <v/>
      </c>
    </row>
    <row r="217" spans="1:9">
      <c r="A217" s="95"/>
      <c r="B217" s="96"/>
      <c r="C217" s="70" t="str">
        <f t="shared" si="9"/>
        <v/>
      </c>
      <c r="D217" s="68"/>
      <c r="E217" s="69"/>
      <c r="F217" s="70" t="str">
        <f t="shared" si="10"/>
        <v/>
      </c>
      <c r="G217" s="68"/>
      <c r="H217" s="69"/>
      <c r="I217" s="70" t="str">
        <f t="shared" si="11"/>
        <v/>
      </c>
    </row>
    <row r="218" spans="1:9">
      <c r="A218" s="95"/>
      <c r="B218" s="96"/>
      <c r="C218" s="70" t="str">
        <f t="shared" si="9"/>
        <v/>
      </c>
      <c r="D218" s="68"/>
      <c r="E218" s="69"/>
      <c r="F218" s="70" t="str">
        <f t="shared" si="10"/>
        <v/>
      </c>
      <c r="G218" s="68"/>
      <c r="H218" s="69"/>
      <c r="I218" s="70" t="str">
        <f t="shared" si="11"/>
        <v/>
      </c>
    </row>
    <row r="219" spans="1:9">
      <c r="A219" s="95"/>
      <c r="B219" s="96"/>
      <c r="C219" s="70" t="str">
        <f t="shared" si="9"/>
        <v/>
      </c>
      <c r="D219" s="68"/>
      <c r="E219" s="69"/>
      <c r="F219" s="70" t="str">
        <f t="shared" si="10"/>
        <v/>
      </c>
      <c r="G219" s="68"/>
      <c r="H219" s="69"/>
      <c r="I219" s="70" t="str">
        <f t="shared" si="11"/>
        <v/>
      </c>
    </row>
    <row r="220" spans="1:9">
      <c r="A220" s="95"/>
      <c r="B220" s="96"/>
      <c r="C220" s="70" t="str">
        <f t="shared" si="9"/>
        <v/>
      </c>
      <c r="D220" s="68"/>
      <c r="E220" s="69"/>
      <c r="F220" s="70" t="str">
        <f t="shared" si="10"/>
        <v/>
      </c>
      <c r="G220" s="68"/>
      <c r="H220" s="69"/>
      <c r="I220" s="70" t="str">
        <f t="shared" si="11"/>
        <v/>
      </c>
    </row>
    <row r="221" spans="1:9">
      <c r="A221" s="95"/>
      <c r="B221" s="96"/>
      <c r="C221" s="70" t="str">
        <f t="shared" si="9"/>
        <v/>
      </c>
      <c r="D221" s="68"/>
      <c r="E221" s="69"/>
      <c r="F221" s="70" t="str">
        <f t="shared" si="10"/>
        <v/>
      </c>
      <c r="G221" s="68"/>
      <c r="H221" s="69"/>
      <c r="I221" s="70" t="str">
        <f t="shared" si="11"/>
        <v/>
      </c>
    </row>
    <row r="222" spans="1:9">
      <c r="A222" s="95"/>
      <c r="B222" s="96"/>
      <c r="C222" s="70" t="str">
        <f t="shared" si="9"/>
        <v/>
      </c>
      <c r="D222" s="68"/>
      <c r="E222" s="69"/>
      <c r="F222" s="70" t="str">
        <f t="shared" si="10"/>
        <v/>
      </c>
      <c r="G222" s="68"/>
      <c r="H222" s="69"/>
      <c r="I222" s="70" t="str">
        <f t="shared" si="11"/>
        <v/>
      </c>
    </row>
    <row r="223" spans="1:9">
      <c r="A223" s="95"/>
      <c r="B223" s="96"/>
      <c r="C223" s="70" t="str">
        <f t="shared" si="9"/>
        <v/>
      </c>
      <c r="D223" s="68"/>
      <c r="E223" s="69"/>
      <c r="F223" s="70" t="str">
        <f t="shared" si="10"/>
        <v/>
      </c>
      <c r="G223" s="68"/>
      <c r="H223" s="69"/>
      <c r="I223" s="70" t="str">
        <f t="shared" si="11"/>
        <v/>
      </c>
    </row>
    <row r="224" spans="1:9">
      <c r="A224" s="95"/>
      <c r="B224" s="96"/>
      <c r="C224" s="70" t="str">
        <f t="shared" si="9"/>
        <v/>
      </c>
      <c r="D224" s="68"/>
      <c r="E224" s="69"/>
      <c r="F224" s="70" t="str">
        <f t="shared" si="10"/>
        <v/>
      </c>
      <c r="G224" s="68"/>
      <c r="H224" s="69"/>
      <c r="I224" s="70" t="str">
        <f t="shared" si="11"/>
        <v/>
      </c>
    </row>
    <row r="225" spans="1:9">
      <c r="A225" s="95"/>
      <c r="B225" s="96"/>
      <c r="C225" s="70" t="str">
        <f t="shared" si="9"/>
        <v/>
      </c>
      <c r="D225" s="68"/>
      <c r="E225" s="69"/>
      <c r="F225" s="70" t="str">
        <f t="shared" si="10"/>
        <v/>
      </c>
      <c r="G225" s="68"/>
      <c r="H225" s="69"/>
      <c r="I225" s="70" t="str">
        <f t="shared" si="11"/>
        <v/>
      </c>
    </row>
    <row r="226" spans="1:9">
      <c r="A226" s="95"/>
      <c r="B226" s="96"/>
      <c r="C226" s="70" t="str">
        <f t="shared" si="9"/>
        <v/>
      </c>
      <c r="D226" s="68"/>
      <c r="E226" s="69"/>
      <c r="F226" s="70" t="str">
        <f t="shared" si="10"/>
        <v/>
      </c>
      <c r="G226" s="68"/>
      <c r="H226" s="69"/>
      <c r="I226" s="70" t="str">
        <f t="shared" si="11"/>
        <v/>
      </c>
    </row>
    <row r="227" spans="1:9">
      <c r="A227" s="95"/>
      <c r="B227" s="96"/>
      <c r="C227" s="70" t="str">
        <f t="shared" si="9"/>
        <v/>
      </c>
      <c r="D227" s="68"/>
      <c r="E227" s="69"/>
      <c r="F227" s="70" t="str">
        <f t="shared" si="10"/>
        <v/>
      </c>
      <c r="G227" s="68"/>
      <c r="H227" s="69"/>
      <c r="I227" s="70" t="str">
        <f t="shared" si="11"/>
        <v/>
      </c>
    </row>
    <row r="228" spans="1:9">
      <c r="A228" s="95"/>
      <c r="B228" s="96"/>
      <c r="C228" s="70" t="str">
        <f t="shared" si="9"/>
        <v/>
      </c>
      <c r="D228" s="68"/>
      <c r="E228" s="69"/>
      <c r="F228" s="70" t="str">
        <f t="shared" si="10"/>
        <v/>
      </c>
      <c r="G228" s="68"/>
      <c r="H228" s="69"/>
      <c r="I228" s="70" t="str">
        <f t="shared" si="11"/>
        <v/>
      </c>
    </row>
    <row r="229" spans="1:9">
      <c r="A229" s="95"/>
      <c r="B229" s="96"/>
      <c r="C229" s="70" t="str">
        <f t="shared" si="9"/>
        <v/>
      </c>
      <c r="D229" s="68"/>
      <c r="E229" s="69"/>
      <c r="F229" s="70" t="str">
        <f t="shared" si="10"/>
        <v/>
      </c>
      <c r="G229" s="68"/>
      <c r="H229" s="69"/>
      <c r="I229" s="70" t="str">
        <f t="shared" si="11"/>
        <v/>
      </c>
    </row>
    <row r="230" spans="1:9">
      <c r="A230" s="95"/>
      <c r="B230" s="96"/>
      <c r="C230" s="70" t="str">
        <f t="shared" si="9"/>
        <v/>
      </c>
      <c r="D230" s="68"/>
      <c r="E230" s="69"/>
      <c r="F230" s="70" t="str">
        <f t="shared" si="10"/>
        <v/>
      </c>
      <c r="G230" s="68"/>
      <c r="H230" s="69"/>
      <c r="I230" s="70" t="str">
        <f t="shared" si="11"/>
        <v/>
      </c>
    </row>
    <row r="231" spans="1:9">
      <c r="A231" s="95"/>
      <c r="B231" s="96"/>
      <c r="C231" s="70" t="str">
        <f t="shared" si="9"/>
        <v/>
      </c>
      <c r="D231" s="68"/>
      <c r="E231" s="69"/>
      <c r="F231" s="70" t="str">
        <f t="shared" si="10"/>
        <v/>
      </c>
      <c r="G231" s="68"/>
      <c r="H231" s="69"/>
      <c r="I231" s="70" t="str">
        <f t="shared" si="11"/>
        <v/>
      </c>
    </row>
    <row r="232" spans="1:9">
      <c r="A232" s="95"/>
      <c r="B232" s="96"/>
      <c r="C232" s="70" t="str">
        <f t="shared" si="9"/>
        <v/>
      </c>
      <c r="D232" s="68"/>
      <c r="E232" s="69"/>
      <c r="F232" s="70" t="str">
        <f t="shared" si="10"/>
        <v/>
      </c>
      <c r="G232" s="68"/>
      <c r="H232" s="69"/>
      <c r="I232" s="70" t="str">
        <f t="shared" si="11"/>
        <v/>
      </c>
    </row>
    <row r="233" spans="1:9">
      <c r="A233" s="95"/>
      <c r="B233" s="96"/>
      <c r="C233" s="70" t="str">
        <f t="shared" si="9"/>
        <v/>
      </c>
      <c r="D233" s="68"/>
      <c r="E233" s="69"/>
      <c r="F233" s="70" t="str">
        <f t="shared" si="10"/>
        <v/>
      </c>
      <c r="G233" s="68"/>
      <c r="H233" s="69"/>
      <c r="I233" s="70" t="str">
        <f t="shared" si="11"/>
        <v/>
      </c>
    </row>
    <row r="234" spans="1:9">
      <c r="A234" s="95"/>
      <c r="B234" s="96"/>
      <c r="C234" s="70" t="str">
        <f t="shared" si="9"/>
        <v/>
      </c>
      <c r="D234" s="68"/>
      <c r="E234" s="69"/>
      <c r="F234" s="70" t="str">
        <f t="shared" si="10"/>
        <v/>
      </c>
      <c r="G234" s="68"/>
      <c r="H234" s="69"/>
      <c r="I234" s="70" t="str">
        <f t="shared" si="11"/>
        <v/>
      </c>
    </row>
    <row r="235" spans="1:9">
      <c r="A235" s="95"/>
      <c r="B235" s="96"/>
      <c r="C235" s="70" t="str">
        <f t="shared" si="9"/>
        <v/>
      </c>
      <c r="D235" s="68"/>
      <c r="E235" s="69"/>
      <c r="F235" s="70" t="str">
        <f t="shared" si="10"/>
        <v/>
      </c>
      <c r="G235" s="68"/>
      <c r="H235" s="69"/>
      <c r="I235" s="70" t="str">
        <f t="shared" si="11"/>
        <v/>
      </c>
    </row>
    <row r="236" spans="1:9">
      <c r="A236" s="95"/>
      <c r="B236" s="96"/>
      <c r="C236" s="70" t="str">
        <f t="shared" si="9"/>
        <v/>
      </c>
      <c r="D236" s="68"/>
      <c r="E236" s="69"/>
      <c r="F236" s="70" t="str">
        <f t="shared" si="10"/>
        <v/>
      </c>
      <c r="G236" s="68"/>
      <c r="H236" s="69"/>
      <c r="I236" s="70" t="str">
        <f t="shared" si="11"/>
        <v/>
      </c>
    </row>
    <row r="237" spans="1:9">
      <c r="A237" s="95"/>
      <c r="B237" s="96"/>
      <c r="C237" s="70" t="str">
        <f t="shared" si="9"/>
        <v/>
      </c>
      <c r="D237" s="68"/>
      <c r="E237" s="69"/>
      <c r="F237" s="70" t="str">
        <f t="shared" si="10"/>
        <v/>
      </c>
      <c r="G237" s="68"/>
      <c r="H237" s="69"/>
      <c r="I237" s="70" t="str">
        <f t="shared" si="11"/>
        <v/>
      </c>
    </row>
    <row r="238" spans="1:9">
      <c r="A238" s="95"/>
      <c r="B238" s="96"/>
      <c r="C238" s="70" t="str">
        <f t="shared" si="9"/>
        <v/>
      </c>
      <c r="D238" s="68"/>
      <c r="E238" s="69"/>
      <c r="F238" s="70" t="str">
        <f t="shared" si="10"/>
        <v/>
      </c>
      <c r="G238" s="68"/>
      <c r="H238" s="69"/>
      <c r="I238" s="70" t="str">
        <f t="shared" si="11"/>
        <v/>
      </c>
    </row>
    <row r="239" spans="1:9">
      <c r="A239" s="95"/>
      <c r="B239" s="96"/>
      <c r="C239" s="70" t="str">
        <f t="shared" si="9"/>
        <v/>
      </c>
      <c r="D239" s="68"/>
      <c r="E239" s="69"/>
      <c r="F239" s="70" t="str">
        <f t="shared" si="10"/>
        <v/>
      </c>
      <c r="G239" s="68"/>
      <c r="H239" s="69"/>
      <c r="I239" s="70" t="str">
        <f t="shared" si="11"/>
        <v/>
      </c>
    </row>
    <row r="240" spans="1:9">
      <c r="A240" s="95"/>
      <c r="B240" s="96"/>
      <c r="C240" s="70" t="str">
        <f t="shared" si="9"/>
        <v/>
      </c>
      <c r="D240" s="68"/>
      <c r="E240" s="69"/>
      <c r="F240" s="70" t="str">
        <f t="shared" si="10"/>
        <v/>
      </c>
      <c r="G240" s="68"/>
      <c r="H240" s="69"/>
      <c r="I240" s="70" t="str">
        <f t="shared" si="11"/>
        <v/>
      </c>
    </row>
    <row r="241" spans="1:9">
      <c r="A241" s="95"/>
      <c r="B241" s="96"/>
      <c r="C241" s="70" t="str">
        <f t="shared" si="9"/>
        <v/>
      </c>
      <c r="D241" s="68"/>
      <c r="E241" s="69"/>
      <c r="F241" s="70" t="str">
        <f t="shared" si="10"/>
        <v/>
      </c>
      <c r="G241" s="68"/>
      <c r="H241" s="69"/>
      <c r="I241" s="70" t="str">
        <f t="shared" si="11"/>
        <v/>
      </c>
    </row>
    <row r="242" spans="1:9">
      <c r="A242" s="68"/>
      <c r="B242" s="69"/>
      <c r="C242" s="70" t="str">
        <f t="shared" si="9"/>
        <v/>
      </c>
      <c r="D242" s="68"/>
      <c r="E242" s="69"/>
      <c r="F242" s="70" t="str">
        <f t="shared" si="10"/>
        <v/>
      </c>
      <c r="G242" s="68"/>
      <c r="H242" s="69"/>
      <c r="I242" s="70" t="str">
        <f t="shared" si="11"/>
        <v/>
      </c>
    </row>
    <row r="243" spans="1:9">
      <c r="A243" s="68"/>
      <c r="B243" s="69"/>
      <c r="C243" s="70" t="str">
        <f t="shared" si="9"/>
        <v/>
      </c>
      <c r="D243" s="68"/>
      <c r="E243" s="69"/>
      <c r="F243" s="70" t="str">
        <f t="shared" si="10"/>
        <v/>
      </c>
      <c r="G243" s="68"/>
      <c r="H243" s="69"/>
      <c r="I243" s="70" t="str">
        <f t="shared" si="11"/>
        <v/>
      </c>
    </row>
    <row r="244" spans="1:9">
      <c r="A244" s="68"/>
      <c r="B244" s="69"/>
      <c r="C244" s="70" t="str">
        <f t="shared" si="9"/>
        <v/>
      </c>
      <c r="D244" s="68"/>
      <c r="E244" s="69"/>
      <c r="F244" s="70" t="str">
        <f t="shared" si="10"/>
        <v/>
      </c>
      <c r="G244" s="68"/>
      <c r="H244" s="69"/>
      <c r="I244" s="70" t="str">
        <f t="shared" si="11"/>
        <v/>
      </c>
    </row>
    <row r="245" spans="1:9">
      <c r="A245" s="68"/>
      <c r="B245" s="69"/>
      <c r="C245" s="70" t="str">
        <f t="shared" si="9"/>
        <v/>
      </c>
      <c r="D245" s="68"/>
      <c r="E245" s="69"/>
      <c r="F245" s="70" t="str">
        <f t="shared" si="10"/>
        <v/>
      </c>
      <c r="G245" s="68"/>
      <c r="H245" s="69"/>
      <c r="I245" s="70" t="str">
        <f t="shared" si="11"/>
        <v/>
      </c>
    </row>
    <row r="246" spans="1:9">
      <c r="A246" s="68"/>
      <c r="B246" s="69"/>
      <c r="C246" s="70" t="str">
        <f t="shared" si="9"/>
        <v/>
      </c>
      <c r="D246" s="68"/>
      <c r="E246" s="69"/>
      <c r="F246" s="70" t="str">
        <f t="shared" si="10"/>
        <v/>
      </c>
      <c r="G246" s="68"/>
      <c r="H246" s="69"/>
      <c r="I246" s="70" t="str">
        <f t="shared" si="11"/>
        <v/>
      </c>
    </row>
    <row r="247" spans="1:9">
      <c r="A247" s="68"/>
      <c r="B247" s="69"/>
      <c r="C247" s="70" t="str">
        <f t="shared" si="9"/>
        <v/>
      </c>
      <c r="D247" s="68"/>
      <c r="E247" s="69"/>
      <c r="F247" s="70" t="str">
        <f t="shared" si="10"/>
        <v/>
      </c>
      <c r="G247" s="68"/>
      <c r="H247" s="69"/>
      <c r="I247" s="70" t="str">
        <f t="shared" si="11"/>
        <v/>
      </c>
    </row>
    <row r="248" spans="1:9">
      <c r="A248" s="68"/>
      <c r="B248" s="69"/>
      <c r="C248" s="70" t="str">
        <f t="shared" si="9"/>
        <v/>
      </c>
      <c r="D248" s="68"/>
      <c r="E248" s="69"/>
      <c r="F248" s="70" t="str">
        <f t="shared" si="10"/>
        <v/>
      </c>
      <c r="G248" s="68"/>
      <c r="H248" s="69"/>
      <c r="I248" s="70" t="str">
        <f t="shared" si="11"/>
        <v/>
      </c>
    </row>
    <row r="249" spans="1:9">
      <c r="A249" s="68"/>
      <c r="B249" s="69"/>
      <c r="C249" s="70" t="str">
        <f t="shared" si="9"/>
        <v/>
      </c>
      <c r="D249" s="68"/>
      <c r="E249" s="69"/>
      <c r="F249" s="70" t="str">
        <f t="shared" si="10"/>
        <v/>
      </c>
      <c r="G249" s="68"/>
      <c r="H249" s="69"/>
      <c r="I249" s="70" t="str">
        <f t="shared" si="11"/>
        <v/>
      </c>
    </row>
    <row r="250" spans="1:9">
      <c r="A250" s="68"/>
      <c r="B250" s="69"/>
      <c r="C250" s="70" t="str">
        <f t="shared" si="9"/>
        <v/>
      </c>
      <c r="D250" s="68"/>
      <c r="E250" s="69"/>
      <c r="F250" s="70" t="str">
        <f t="shared" si="10"/>
        <v/>
      </c>
      <c r="G250" s="68"/>
      <c r="H250" s="69"/>
      <c r="I250" s="70" t="str">
        <f t="shared" si="11"/>
        <v/>
      </c>
    </row>
    <row r="251" spans="1:9">
      <c r="A251" s="68"/>
      <c r="B251" s="69"/>
      <c r="C251" s="70" t="str">
        <f t="shared" si="9"/>
        <v/>
      </c>
      <c r="D251" s="68"/>
      <c r="E251" s="69"/>
      <c r="F251" s="70" t="str">
        <f t="shared" si="10"/>
        <v/>
      </c>
      <c r="G251" s="68"/>
      <c r="H251" s="69"/>
      <c r="I251" s="70" t="str">
        <f t="shared" si="11"/>
        <v/>
      </c>
    </row>
    <row r="252" spans="1:9">
      <c r="A252" s="68"/>
      <c r="B252" s="69"/>
      <c r="C252" s="70" t="str">
        <f t="shared" si="9"/>
        <v/>
      </c>
      <c r="D252" s="68"/>
      <c r="E252" s="69"/>
      <c r="F252" s="70" t="str">
        <f t="shared" si="10"/>
        <v/>
      </c>
      <c r="G252" s="68"/>
      <c r="H252" s="69"/>
      <c r="I252" s="70" t="str">
        <f t="shared" si="11"/>
        <v/>
      </c>
    </row>
    <row r="253" spans="1:9">
      <c r="A253" s="68"/>
      <c r="B253" s="69"/>
      <c r="C253" s="70" t="str">
        <f t="shared" si="9"/>
        <v/>
      </c>
      <c r="D253" s="68"/>
      <c r="E253" s="69"/>
      <c r="F253" s="70" t="str">
        <f t="shared" si="10"/>
        <v/>
      </c>
      <c r="G253" s="68"/>
      <c r="H253" s="69"/>
      <c r="I253" s="70" t="str">
        <f t="shared" si="11"/>
        <v/>
      </c>
    </row>
    <row r="254" spans="1:9">
      <c r="A254" s="68"/>
      <c r="B254" s="69"/>
      <c r="C254" s="70" t="str">
        <f t="shared" si="9"/>
        <v/>
      </c>
      <c r="D254" s="68"/>
      <c r="E254" s="69"/>
      <c r="F254" s="70" t="str">
        <f t="shared" si="10"/>
        <v/>
      </c>
      <c r="G254" s="68"/>
      <c r="H254" s="69"/>
      <c r="I254" s="70" t="str">
        <f t="shared" si="11"/>
        <v/>
      </c>
    </row>
    <row r="255" spans="1:9">
      <c r="A255" s="68"/>
      <c r="B255" s="69"/>
      <c r="C255" s="70" t="str">
        <f t="shared" si="9"/>
        <v/>
      </c>
      <c r="D255" s="68"/>
      <c r="E255" s="69"/>
      <c r="F255" s="70" t="str">
        <f t="shared" si="10"/>
        <v/>
      </c>
      <c r="G255" s="68"/>
      <c r="H255" s="69"/>
      <c r="I255" s="70" t="str">
        <f t="shared" si="11"/>
        <v/>
      </c>
    </row>
    <row r="256" spans="1:9">
      <c r="A256" s="68"/>
      <c r="B256" s="69"/>
      <c r="C256" s="70" t="str">
        <f t="shared" si="9"/>
        <v/>
      </c>
      <c r="D256" s="68"/>
      <c r="E256" s="69"/>
      <c r="F256" s="70" t="str">
        <f t="shared" si="10"/>
        <v/>
      </c>
      <c r="G256" s="68"/>
      <c r="H256" s="69"/>
      <c r="I256" s="70" t="str">
        <f t="shared" si="11"/>
        <v/>
      </c>
    </row>
    <row r="257" spans="1:9">
      <c r="A257" s="68"/>
      <c r="B257" s="69"/>
      <c r="C257" s="70" t="str">
        <f t="shared" si="9"/>
        <v/>
      </c>
      <c r="D257" s="68"/>
      <c r="E257" s="69"/>
      <c r="F257" s="70" t="str">
        <f t="shared" si="10"/>
        <v/>
      </c>
      <c r="G257" s="68"/>
      <c r="H257" s="69"/>
      <c r="I257" s="70" t="str">
        <f t="shared" si="11"/>
        <v/>
      </c>
    </row>
    <row r="258" spans="1:9">
      <c r="A258" s="68"/>
      <c r="B258" s="69"/>
      <c r="C258" s="70" t="str">
        <f t="shared" si="9"/>
        <v/>
      </c>
      <c r="D258" s="68"/>
      <c r="E258" s="69"/>
      <c r="F258" s="70" t="str">
        <f t="shared" si="10"/>
        <v/>
      </c>
      <c r="G258" s="68"/>
      <c r="H258" s="69"/>
      <c r="I258" s="70" t="str">
        <f t="shared" si="11"/>
        <v/>
      </c>
    </row>
    <row r="259" spans="1:9">
      <c r="A259" s="68"/>
      <c r="B259" s="69"/>
      <c r="C259" s="70" t="str">
        <f t="shared" si="9"/>
        <v/>
      </c>
      <c r="D259" s="68"/>
      <c r="E259" s="69"/>
      <c r="F259" s="70" t="str">
        <f t="shared" si="10"/>
        <v/>
      </c>
      <c r="G259" s="68"/>
      <c r="H259" s="69"/>
      <c r="I259" s="70" t="str">
        <f t="shared" si="11"/>
        <v/>
      </c>
    </row>
    <row r="260" spans="1:9">
      <c r="A260" s="68"/>
      <c r="B260" s="69"/>
      <c r="C260" s="70" t="str">
        <f t="shared" si="9"/>
        <v/>
      </c>
      <c r="D260" s="68"/>
      <c r="E260" s="69"/>
      <c r="F260" s="70" t="str">
        <f t="shared" si="10"/>
        <v/>
      </c>
      <c r="G260" s="68"/>
      <c r="H260" s="69"/>
      <c r="I260" s="70" t="str">
        <f t="shared" si="11"/>
        <v/>
      </c>
    </row>
    <row r="261" spans="1:9">
      <c r="A261" s="68"/>
      <c r="B261" s="69"/>
      <c r="C261" s="70" t="str">
        <f t="shared" ref="C261:C304" si="12">IF(B261&gt;0,TEXT(B261,"(aaa)"),"")</f>
        <v/>
      </c>
      <c r="D261" s="68"/>
      <c r="E261" s="69"/>
      <c r="F261" s="70" t="str">
        <f t="shared" ref="F261:F304" si="13">IF(E261&gt;0,TEXT(E261,"(aaa)"),"")</f>
        <v/>
      </c>
      <c r="G261" s="68"/>
      <c r="H261" s="69"/>
      <c r="I261" s="70" t="str">
        <f t="shared" ref="I261:I304" si="14">IF(H261&gt;0,TEXT(H261,"(aaa)"),"")</f>
        <v/>
      </c>
    </row>
    <row r="262" spans="1:9">
      <c r="A262" s="68"/>
      <c r="B262" s="69"/>
      <c r="C262" s="70" t="str">
        <f t="shared" si="12"/>
        <v/>
      </c>
      <c r="D262" s="68"/>
      <c r="E262" s="69"/>
      <c r="F262" s="70" t="str">
        <f t="shared" si="13"/>
        <v/>
      </c>
      <c r="G262" s="68"/>
      <c r="H262" s="69"/>
      <c r="I262" s="70" t="str">
        <f t="shared" si="14"/>
        <v/>
      </c>
    </row>
    <row r="263" spans="1:9">
      <c r="A263" s="68"/>
      <c r="B263" s="69"/>
      <c r="C263" s="70" t="str">
        <f t="shared" si="12"/>
        <v/>
      </c>
      <c r="D263" s="68"/>
      <c r="E263" s="69"/>
      <c r="F263" s="70" t="str">
        <f t="shared" si="13"/>
        <v/>
      </c>
      <c r="G263" s="68"/>
      <c r="H263" s="69"/>
      <c r="I263" s="70" t="str">
        <f t="shared" si="14"/>
        <v/>
      </c>
    </row>
    <row r="264" spans="1:9">
      <c r="A264" s="68"/>
      <c r="B264" s="69"/>
      <c r="C264" s="70" t="str">
        <f t="shared" si="12"/>
        <v/>
      </c>
      <c r="D264" s="68"/>
      <c r="E264" s="69"/>
      <c r="F264" s="70" t="str">
        <f t="shared" si="13"/>
        <v/>
      </c>
      <c r="G264" s="68"/>
      <c r="H264" s="69"/>
      <c r="I264" s="70" t="str">
        <f t="shared" si="14"/>
        <v/>
      </c>
    </row>
    <row r="265" spans="1:9">
      <c r="A265" s="68"/>
      <c r="B265" s="69"/>
      <c r="C265" s="70" t="str">
        <f t="shared" si="12"/>
        <v/>
      </c>
      <c r="D265" s="68"/>
      <c r="E265" s="69"/>
      <c r="F265" s="70" t="str">
        <f t="shared" si="13"/>
        <v/>
      </c>
      <c r="G265" s="68"/>
      <c r="H265" s="69"/>
      <c r="I265" s="70" t="str">
        <f t="shared" si="14"/>
        <v/>
      </c>
    </row>
    <row r="266" spans="1:9">
      <c r="A266" s="68"/>
      <c r="B266" s="69"/>
      <c r="C266" s="70" t="str">
        <f t="shared" si="12"/>
        <v/>
      </c>
      <c r="D266" s="68"/>
      <c r="E266" s="69"/>
      <c r="F266" s="70" t="str">
        <f t="shared" si="13"/>
        <v/>
      </c>
      <c r="G266" s="68"/>
      <c r="H266" s="69"/>
      <c r="I266" s="70" t="str">
        <f t="shared" si="14"/>
        <v/>
      </c>
    </row>
    <row r="267" spans="1:9">
      <c r="A267" s="68"/>
      <c r="B267" s="69"/>
      <c r="C267" s="70" t="str">
        <f t="shared" si="12"/>
        <v/>
      </c>
      <c r="D267" s="68"/>
      <c r="E267" s="69"/>
      <c r="F267" s="70" t="str">
        <f t="shared" si="13"/>
        <v/>
      </c>
      <c r="G267" s="68"/>
      <c r="H267" s="69"/>
      <c r="I267" s="70" t="str">
        <f t="shared" si="14"/>
        <v/>
      </c>
    </row>
    <row r="268" spans="1:9">
      <c r="A268" s="68"/>
      <c r="B268" s="69"/>
      <c r="C268" s="70" t="str">
        <f t="shared" si="12"/>
        <v/>
      </c>
      <c r="D268" s="68"/>
      <c r="E268" s="69"/>
      <c r="F268" s="70" t="str">
        <f t="shared" si="13"/>
        <v/>
      </c>
      <c r="G268" s="68"/>
      <c r="H268" s="69"/>
      <c r="I268" s="70" t="str">
        <f t="shared" si="14"/>
        <v/>
      </c>
    </row>
    <row r="269" spans="1:9">
      <c r="A269" s="68"/>
      <c r="B269" s="69"/>
      <c r="C269" s="70" t="str">
        <f t="shared" si="12"/>
        <v/>
      </c>
      <c r="D269" s="68"/>
      <c r="E269" s="69"/>
      <c r="F269" s="70" t="str">
        <f t="shared" si="13"/>
        <v/>
      </c>
      <c r="G269" s="68"/>
      <c r="H269" s="69"/>
      <c r="I269" s="70" t="str">
        <f t="shared" si="14"/>
        <v/>
      </c>
    </row>
    <row r="270" spans="1:9">
      <c r="A270" s="68"/>
      <c r="B270" s="69"/>
      <c r="C270" s="70" t="str">
        <f t="shared" si="12"/>
        <v/>
      </c>
      <c r="D270" s="68"/>
      <c r="E270" s="69"/>
      <c r="F270" s="70" t="str">
        <f t="shared" si="13"/>
        <v/>
      </c>
      <c r="G270" s="68"/>
      <c r="H270" s="69"/>
      <c r="I270" s="70" t="str">
        <f t="shared" si="14"/>
        <v/>
      </c>
    </row>
    <row r="271" spans="1:9">
      <c r="A271" s="68"/>
      <c r="B271" s="69"/>
      <c r="C271" s="70" t="str">
        <f t="shared" si="12"/>
        <v/>
      </c>
      <c r="D271" s="68"/>
      <c r="E271" s="69"/>
      <c r="F271" s="70" t="str">
        <f t="shared" si="13"/>
        <v/>
      </c>
      <c r="G271" s="68"/>
      <c r="H271" s="69"/>
      <c r="I271" s="70" t="str">
        <f t="shared" si="14"/>
        <v/>
      </c>
    </row>
    <row r="272" spans="1:9">
      <c r="A272" s="68"/>
      <c r="B272" s="69"/>
      <c r="C272" s="70" t="str">
        <f t="shared" si="12"/>
        <v/>
      </c>
      <c r="D272" s="68"/>
      <c r="E272" s="69"/>
      <c r="F272" s="70" t="str">
        <f t="shared" si="13"/>
        <v/>
      </c>
      <c r="G272" s="68"/>
      <c r="H272" s="69"/>
      <c r="I272" s="70" t="str">
        <f t="shared" si="14"/>
        <v/>
      </c>
    </row>
    <row r="273" spans="1:9">
      <c r="A273" s="68"/>
      <c r="B273" s="69"/>
      <c r="C273" s="70" t="str">
        <f t="shared" si="12"/>
        <v/>
      </c>
      <c r="D273" s="68"/>
      <c r="E273" s="69"/>
      <c r="F273" s="70" t="str">
        <f t="shared" si="13"/>
        <v/>
      </c>
      <c r="G273" s="68"/>
      <c r="H273" s="69"/>
      <c r="I273" s="70" t="str">
        <f t="shared" si="14"/>
        <v/>
      </c>
    </row>
    <row r="274" spans="1:9">
      <c r="A274" s="68"/>
      <c r="B274" s="69"/>
      <c r="C274" s="70" t="str">
        <f t="shared" si="12"/>
        <v/>
      </c>
      <c r="D274" s="68"/>
      <c r="E274" s="69"/>
      <c r="F274" s="70" t="str">
        <f t="shared" si="13"/>
        <v/>
      </c>
      <c r="G274" s="68"/>
      <c r="H274" s="69"/>
      <c r="I274" s="70" t="str">
        <f t="shared" si="14"/>
        <v/>
      </c>
    </row>
    <row r="275" spans="1:9">
      <c r="A275" s="68"/>
      <c r="B275" s="69"/>
      <c r="C275" s="70" t="str">
        <f t="shared" si="12"/>
        <v/>
      </c>
      <c r="D275" s="68"/>
      <c r="E275" s="69"/>
      <c r="F275" s="70" t="str">
        <f t="shared" si="13"/>
        <v/>
      </c>
      <c r="G275" s="68"/>
      <c r="H275" s="69"/>
      <c r="I275" s="70" t="str">
        <f t="shared" si="14"/>
        <v/>
      </c>
    </row>
    <row r="276" spans="1:9">
      <c r="A276" s="68"/>
      <c r="B276" s="69"/>
      <c r="C276" s="70" t="str">
        <f t="shared" si="12"/>
        <v/>
      </c>
      <c r="D276" s="68"/>
      <c r="E276" s="69"/>
      <c r="F276" s="70" t="str">
        <f t="shared" si="13"/>
        <v/>
      </c>
      <c r="G276" s="68"/>
      <c r="H276" s="69"/>
      <c r="I276" s="70" t="str">
        <f t="shared" si="14"/>
        <v/>
      </c>
    </row>
    <row r="277" spans="1:9">
      <c r="A277" s="68"/>
      <c r="B277" s="69"/>
      <c r="C277" s="70" t="str">
        <f t="shared" si="12"/>
        <v/>
      </c>
      <c r="D277" s="68"/>
      <c r="E277" s="69"/>
      <c r="F277" s="70" t="str">
        <f t="shared" si="13"/>
        <v/>
      </c>
      <c r="G277" s="68"/>
      <c r="H277" s="69"/>
      <c r="I277" s="70" t="str">
        <f t="shared" si="14"/>
        <v/>
      </c>
    </row>
    <row r="278" spans="1:9">
      <c r="A278" s="68"/>
      <c r="B278" s="69"/>
      <c r="C278" s="70" t="str">
        <f t="shared" si="12"/>
        <v/>
      </c>
      <c r="D278" s="68"/>
      <c r="E278" s="69"/>
      <c r="F278" s="70" t="str">
        <f t="shared" si="13"/>
        <v/>
      </c>
      <c r="G278" s="68"/>
      <c r="H278" s="69"/>
      <c r="I278" s="70" t="str">
        <f t="shared" si="14"/>
        <v/>
      </c>
    </row>
    <row r="279" spans="1:9">
      <c r="A279" s="68"/>
      <c r="B279" s="69"/>
      <c r="C279" s="70" t="str">
        <f t="shared" si="12"/>
        <v/>
      </c>
      <c r="D279" s="68"/>
      <c r="E279" s="69"/>
      <c r="F279" s="70" t="str">
        <f t="shared" si="13"/>
        <v/>
      </c>
      <c r="G279" s="68"/>
      <c r="H279" s="69"/>
      <c r="I279" s="70" t="str">
        <f t="shared" si="14"/>
        <v/>
      </c>
    </row>
    <row r="280" spans="1:9">
      <c r="A280" s="68"/>
      <c r="B280" s="69"/>
      <c r="C280" s="70" t="str">
        <f t="shared" si="12"/>
        <v/>
      </c>
      <c r="D280" s="68"/>
      <c r="E280" s="69"/>
      <c r="F280" s="70" t="str">
        <f t="shared" si="13"/>
        <v/>
      </c>
      <c r="G280" s="68"/>
      <c r="H280" s="69"/>
      <c r="I280" s="70" t="str">
        <f t="shared" si="14"/>
        <v/>
      </c>
    </row>
    <row r="281" spans="1:9">
      <c r="A281" s="68"/>
      <c r="B281" s="69"/>
      <c r="C281" s="70" t="str">
        <f t="shared" si="12"/>
        <v/>
      </c>
      <c r="D281" s="68"/>
      <c r="E281" s="69"/>
      <c r="F281" s="70" t="str">
        <f t="shared" si="13"/>
        <v/>
      </c>
      <c r="G281" s="68"/>
      <c r="H281" s="69"/>
      <c r="I281" s="70" t="str">
        <f t="shared" si="14"/>
        <v/>
      </c>
    </row>
    <row r="282" spans="1:9">
      <c r="A282" s="68"/>
      <c r="B282" s="69"/>
      <c r="C282" s="70" t="str">
        <f t="shared" si="12"/>
        <v/>
      </c>
      <c r="D282" s="68"/>
      <c r="E282" s="69"/>
      <c r="F282" s="70" t="str">
        <f t="shared" si="13"/>
        <v/>
      </c>
      <c r="G282" s="68"/>
      <c r="H282" s="69"/>
      <c r="I282" s="70" t="str">
        <f t="shared" si="14"/>
        <v/>
      </c>
    </row>
    <row r="283" spans="1:9">
      <c r="A283" s="68"/>
      <c r="B283" s="69"/>
      <c r="C283" s="70" t="str">
        <f t="shared" si="12"/>
        <v/>
      </c>
      <c r="D283" s="68"/>
      <c r="E283" s="69"/>
      <c r="F283" s="70" t="str">
        <f t="shared" si="13"/>
        <v/>
      </c>
      <c r="G283" s="68"/>
      <c r="H283" s="69"/>
      <c r="I283" s="70" t="str">
        <f t="shared" si="14"/>
        <v/>
      </c>
    </row>
    <row r="284" spans="1:9">
      <c r="A284" s="68"/>
      <c r="B284" s="69"/>
      <c r="C284" s="70" t="str">
        <f t="shared" si="12"/>
        <v/>
      </c>
      <c r="D284" s="68"/>
      <c r="E284" s="69"/>
      <c r="F284" s="70" t="str">
        <f t="shared" si="13"/>
        <v/>
      </c>
      <c r="G284" s="68"/>
      <c r="H284" s="69"/>
      <c r="I284" s="70" t="str">
        <f t="shared" si="14"/>
        <v/>
      </c>
    </row>
    <row r="285" spans="1:9">
      <c r="A285" s="68"/>
      <c r="B285" s="69"/>
      <c r="C285" s="70" t="str">
        <f t="shared" si="12"/>
        <v/>
      </c>
      <c r="D285" s="68"/>
      <c r="E285" s="69"/>
      <c r="F285" s="70" t="str">
        <f t="shared" si="13"/>
        <v/>
      </c>
      <c r="G285" s="68"/>
      <c r="H285" s="69"/>
      <c r="I285" s="70" t="str">
        <f t="shared" si="14"/>
        <v/>
      </c>
    </row>
    <row r="286" spans="1:9">
      <c r="A286" s="68"/>
      <c r="B286" s="69"/>
      <c r="C286" s="70" t="str">
        <f t="shared" si="12"/>
        <v/>
      </c>
      <c r="D286" s="68"/>
      <c r="E286" s="69"/>
      <c r="F286" s="70" t="str">
        <f t="shared" si="13"/>
        <v/>
      </c>
      <c r="G286" s="68"/>
      <c r="H286" s="69"/>
      <c r="I286" s="70" t="str">
        <f t="shared" si="14"/>
        <v/>
      </c>
    </row>
    <row r="287" spans="1:9">
      <c r="A287" s="68"/>
      <c r="B287" s="69"/>
      <c r="C287" s="70" t="str">
        <f t="shared" si="12"/>
        <v/>
      </c>
      <c r="D287" s="68"/>
      <c r="E287" s="69"/>
      <c r="F287" s="70" t="str">
        <f t="shared" si="13"/>
        <v/>
      </c>
      <c r="G287" s="68"/>
      <c r="H287" s="69"/>
      <c r="I287" s="70" t="str">
        <f t="shared" si="14"/>
        <v/>
      </c>
    </row>
    <row r="288" spans="1:9">
      <c r="A288" s="68"/>
      <c r="B288" s="69"/>
      <c r="C288" s="70" t="str">
        <f t="shared" si="12"/>
        <v/>
      </c>
      <c r="D288" s="68"/>
      <c r="E288" s="69"/>
      <c r="F288" s="70" t="str">
        <f t="shared" si="13"/>
        <v/>
      </c>
      <c r="G288" s="68"/>
      <c r="H288" s="69"/>
      <c r="I288" s="70" t="str">
        <f t="shared" si="14"/>
        <v/>
      </c>
    </row>
    <row r="289" spans="1:9">
      <c r="A289" s="68"/>
      <c r="B289" s="69"/>
      <c r="C289" s="70" t="str">
        <f t="shared" si="12"/>
        <v/>
      </c>
      <c r="D289" s="68"/>
      <c r="E289" s="69"/>
      <c r="F289" s="70" t="str">
        <f t="shared" si="13"/>
        <v/>
      </c>
      <c r="G289" s="68"/>
      <c r="H289" s="69"/>
      <c r="I289" s="70" t="str">
        <f t="shared" si="14"/>
        <v/>
      </c>
    </row>
    <row r="290" spans="1:9">
      <c r="A290" s="68"/>
      <c r="B290" s="69"/>
      <c r="C290" s="70" t="str">
        <f t="shared" si="12"/>
        <v/>
      </c>
      <c r="D290" s="68"/>
      <c r="E290" s="69"/>
      <c r="F290" s="70" t="str">
        <f t="shared" si="13"/>
        <v/>
      </c>
      <c r="G290" s="68"/>
      <c r="H290" s="69"/>
      <c r="I290" s="70" t="str">
        <f t="shared" si="14"/>
        <v/>
      </c>
    </row>
    <row r="291" spans="1:9">
      <c r="A291" s="68"/>
      <c r="B291" s="69"/>
      <c r="C291" s="70" t="str">
        <f t="shared" si="12"/>
        <v/>
      </c>
      <c r="D291" s="68"/>
      <c r="E291" s="69"/>
      <c r="F291" s="70" t="str">
        <f t="shared" si="13"/>
        <v/>
      </c>
      <c r="G291" s="68"/>
      <c r="H291" s="69"/>
      <c r="I291" s="70" t="str">
        <f t="shared" si="14"/>
        <v/>
      </c>
    </row>
    <row r="292" spans="1:9">
      <c r="A292" s="68"/>
      <c r="B292" s="69"/>
      <c r="C292" s="70" t="str">
        <f t="shared" si="12"/>
        <v/>
      </c>
      <c r="D292" s="68"/>
      <c r="E292" s="69"/>
      <c r="F292" s="70" t="str">
        <f t="shared" si="13"/>
        <v/>
      </c>
      <c r="G292" s="68"/>
      <c r="H292" s="69"/>
      <c r="I292" s="70" t="str">
        <f t="shared" si="14"/>
        <v/>
      </c>
    </row>
    <row r="293" spans="1:9">
      <c r="A293" s="68"/>
      <c r="B293" s="69"/>
      <c r="C293" s="70" t="str">
        <f t="shared" si="12"/>
        <v/>
      </c>
      <c r="D293" s="68"/>
      <c r="E293" s="69"/>
      <c r="F293" s="70" t="str">
        <f t="shared" si="13"/>
        <v/>
      </c>
      <c r="G293" s="68"/>
      <c r="H293" s="69"/>
      <c r="I293" s="70" t="str">
        <f t="shared" si="14"/>
        <v/>
      </c>
    </row>
    <row r="294" spans="1:9">
      <c r="A294" s="68"/>
      <c r="B294" s="69"/>
      <c r="C294" s="70" t="str">
        <f t="shared" si="12"/>
        <v/>
      </c>
      <c r="D294" s="68"/>
      <c r="E294" s="69"/>
      <c r="F294" s="70" t="str">
        <f t="shared" si="13"/>
        <v/>
      </c>
      <c r="G294" s="68"/>
      <c r="H294" s="69"/>
      <c r="I294" s="70" t="str">
        <f t="shared" si="14"/>
        <v/>
      </c>
    </row>
    <row r="295" spans="1:9">
      <c r="A295" s="68"/>
      <c r="B295" s="69"/>
      <c r="C295" s="70" t="str">
        <f t="shared" si="12"/>
        <v/>
      </c>
      <c r="D295" s="68"/>
      <c r="E295" s="69"/>
      <c r="F295" s="70" t="str">
        <f t="shared" si="13"/>
        <v/>
      </c>
      <c r="G295" s="68"/>
      <c r="H295" s="69"/>
      <c r="I295" s="70" t="str">
        <f t="shared" si="14"/>
        <v/>
      </c>
    </row>
    <row r="296" spans="1:9">
      <c r="A296" s="68"/>
      <c r="B296" s="69"/>
      <c r="C296" s="70" t="str">
        <f t="shared" si="12"/>
        <v/>
      </c>
      <c r="D296" s="68"/>
      <c r="E296" s="69"/>
      <c r="F296" s="70" t="str">
        <f t="shared" si="13"/>
        <v/>
      </c>
      <c r="G296" s="68"/>
      <c r="H296" s="69"/>
      <c r="I296" s="70" t="str">
        <f t="shared" si="14"/>
        <v/>
      </c>
    </row>
    <row r="297" spans="1:9">
      <c r="A297" s="68"/>
      <c r="B297" s="69"/>
      <c r="C297" s="70" t="str">
        <f t="shared" si="12"/>
        <v/>
      </c>
      <c r="D297" s="68"/>
      <c r="E297" s="69"/>
      <c r="F297" s="70" t="str">
        <f t="shared" si="13"/>
        <v/>
      </c>
      <c r="G297" s="68"/>
      <c r="H297" s="69"/>
      <c r="I297" s="70" t="str">
        <f t="shared" si="14"/>
        <v/>
      </c>
    </row>
    <row r="298" spans="1:9">
      <c r="A298" s="68"/>
      <c r="B298" s="69"/>
      <c r="C298" s="70" t="str">
        <f t="shared" si="12"/>
        <v/>
      </c>
      <c r="D298" s="68"/>
      <c r="E298" s="69"/>
      <c r="F298" s="70" t="str">
        <f t="shared" si="13"/>
        <v/>
      </c>
      <c r="G298" s="68"/>
      <c r="H298" s="69"/>
      <c r="I298" s="70" t="str">
        <f t="shared" si="14"/>
        <v/>
      </c>
    </row>
    <row r="299" spans="1:9">
      <c r="A299" s="68"/>
      <c r="B299" s="69"/>
      <c r="C299" s="70" t="str">
        <f t="shared" si="12"/>
        <v/>
      </c>
      <c r="D299" s="68"/>
      <c r="E299" s="69"/>
      <c r="F299" s="70" t="str">
        <f t="shared" si="13"/>
        <v/>
      </c>
      <c r="G299" s="68"/>
      <c r="H299" s="69"/>
      <c r="I299" s="70" t="str">
        <f t="shared" si="14"/>
        <v/>
      </c>
    </row>
    <row r="300" spans="1:9">
      <c r="A300" s="68"/>
      <c r="B300" s="69"/>
      <c r="C300" s="70" t="str">
        <f t="shared" si="12"/>
        <v/>
      </c>
      <c r="D300" s="68"/>
      <c r="E300" s="69"/>
      <c r="F300" s="70" t="str">
        <f t="shared" si="13"/>
        <v/>
      </c>
      <c r="G300" s="68"/>
      <c r="H300" s="69"/>
      <c r="I300" s="70" t="str">
        <f t="shared" si="14"/>
        <v/>
      </c>
    </row>
    <row r="301" spans="1:9">
      <c r="A301" s="68"/>
      <c r="B301" s="69"/>
      <c r="C301" s="70" t="str">
        <f t="shared" si="12"/>
        <v/>
      </c>
      <c r="D301" s="68"/>
      <c r="E301" s="69"/>
      <c r="F301" s="70" t="str">
        <f t="shared" si="13"/>
        <v/>
      </c>
      <c r="G301" s="68"/>
      <c r="H301" s="69"/>
      <c r="I301" s="70" t="str">
        <f t="shared" si="14"/>
        <v/>
      </c>
    </row>
    <row r="302" spans="1:9">
      <c r="A302" s="68"/>
      <c r="B302" s="72"/>
      <c r="C302" s="70" t="str">
        <f t="shared" si="12"/>
        <v/>
      </c>
      <c r="D302" s="68"/>
      <c r="E302" s="72"/>
      <c r="F302" s="70" t="str">
        <f t="shared" si="13"/>
        <v/>
      </c>
      <c r="G302" s="68"/>
      <c r="H302" s="72"/>
      <c r="I302" s="70" t="str">
        <f t="shared" si="14"/>
        <v/>
      </c>
    </row>
    <row r="303" spans="1:9">
      <c r="A303" s="68"/>
      <c r="B303" s="72"/>
      <c r="C303" s="70" t="str">
        <f t="shared" si="12"/>
        <v/>
      </c>
      <c r="D303" s="68"/>
      <c r="E303" s="72"/>
      <c r="F303" s="70" t="str">
        <f t="shared" si="13"/>
        <v/>
      </c>
      <c r="G303" s="68"/>
      <c r="H303" s="72"/>
      <c r="I303" s="70" t="str">
        <f t="shared" si="14"/>
        <v/>
      </c>
    </row>
    <row r="304" spans="1:9">
      <c r="A304" s="68"/>
      <c r="B304" s="72"/>
      <c r="C304" s="70" t="str">
        <f t="shared" si="12"/>
        <v/>
      </c>
      <c r="D304" s="68"/>
      <c r="E304" s="72"/>
      <c r="F304" s="70" t="str">
        <f t="shared" si="13"/>
        <v/>
      </c>
      <c r="G304" s="68"/>
      <c r="H304" s="72"/>
      <c r="I304" s="70" t="str">
        <f t="shared" si="14"/>
        <v/>
      </c>
    </row>
    <row r="305" spans="1:7">
      <c r="A305" s="70" t="s">
        <v>1019</v>
      </c>
      <c r="D305" s="70" t="s">
        <v>1019</v>
      </c>
      <c r="G305" s="70" t="s">
        <v>1019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1027</cp:lastModifiedBy>
  <dcterms:created xsi:type="dcterms:W3CDTF">2018-02-18T09:45:14Z</dcterms:created>
  <dcterms:modified xsi:type="dcterms:W3CDTF">2019-11-01T07:35:04Z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3e9a4af8-168f-405e-ae0a-53326f23b29e</vt:lpwstr>
  </property>
</Properties>
</file>